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5C755274-A987-4921-AF25-100D5FEF8D50}" xr6:coauthVersionLast="47" xr6:coauthVersionMax="47" xr10:uidLastSave="{00000000-0000-0000-0000-000000000000}"/>
  <bookViews>
    <workbookView xWindow="-108" yWindow="-108" windowWidth="23256" windowHeight="12456" firstSheet="7" activeTab="12" xr2:uid="{D4886810-D9CC-4231-AA87-2302A306BB27}"/>
  </bookViews>
  <sheets>
    <sheet name="Financials&gt;" sheetId="1" r:id="rId1"/>
    <sheet name="HistoricalFS" sheetId="3" r:id="rId2"/>
    <sheet name="Data&gt;" sheetId="4" r:id="rId3"/>
    <sheet name="Cash Flow Data" sheetId="5" r:id="rId4"/>
    <sheet name="Data Sheet" sheetId="2" r:id="rId5"/>
    <sheet name="Modelling&gt;" sheetId="13" r:id="rId6"/>
    <sheet name="Beta Regression " sheetId="6" r:id="rId7"/>
    <sheet name="Beta Comps and WACC " sheetId="7" r:id="rId8"/>
    <sheet name="Raw FS" sheetId="9" r:id="rId9"/>
    <sheet name="Sales to Capital Ratio" sheetId="10" r:id="rId10"/>
    <sheet name="Int Growth Rate" sheetId="12" r:id="rId11"/>
    <sheet name="DCF" sheetId="11" r:id="rId12"/>
    <sheet name="Relative Valuation " sheetId="14" r:id="rId13"/>
  </sheets>
  <definedNames>
    <definedName name="_xlnm._FilterDatabase" localSheetId="6" hidden="1">'Beta Regression '!$B$5:$D$109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3" i="14" l="1"/>
  <c r="H24" i="14"/>
  <c r="H25" i="14"/>
  <c r="H26" i="14"/>
  <c r="H27" i="14"/>
  <c r="H28" i="14"/>
  <c r="H22" i="14"/>
  <c r="F23" i="14"/>
  <c r="F24" i="14"/>
  <c r="F25" i="14"/>
  <c r="F26" i="14"/>
  <c r="F27" i="14"/>
  <c r="F28" i="14"/>
  <c r="F22" i="14"/>
  <c r="L59" i="10"/>
  <c r="I58" i="10"/>
  <c r="J58" i="10"/>
  <c r="K58" i="10"/>
  <c r="L58" i="10"/>
  <c r="H58" i="10"/>
  <c r="H56" i="10"/>
  <c r="I56" i="10"/>
  <c r="J56" i="10"/>
  <c r="K56" i="10"/>
  <c r="L56" i="10"/>
  <c r="H54" i="10"/>
  <c r="I54" i="10"/>
  <c r="J54" i="10"/>
  <c r="K54" i="10"/>
  <c r="L54" i="10"/>
  <c r="G54" i="10"/>
  <c r="H52" i="10"/>
  <c r="I52" i="10"/>
  <c r="J52" i="10"/>
  <c r="K52" i="10"/>
  <c r="L52" i="10"/>
  <c r="G52" i="10"/>
  <c r="H49" i="10"/>
  <c r="I49" i="10"/>
  <c r="J49" i="10"/>
  <c r="K49" i="10"/>
  <c r="L49" i="10"/>
  <c r="G49" i="10"/>
  <c r="I50" i="10"/>
  <c r="J50" i="10"/>
  <c r="K50" i="10"/>
  <c r="L50" i="10"/>
  <c r="H50" i="10"/>
  <c r="L37" i="10"/>
  <c r="D32" i="11"/>
  <c r="L5" i="12"/>
  <c r="P5" i="12"/>
  <c r="Q5" i="12" s="1"/>
  <c r="K9" i="11"/>
  <c r="L9" i="11"/>
  <c r="M9" i="11"/>
  <c r="N9" i="11"/>
  <c r="O9" i="11"/>
  <c r="K2" i="11"/>
  <c r="L2" i="11"/>
  <c r="M2" i="11"/>
  <c r="N2" i="11"/>
  <c r="O2" i="11"/>
  <c r="D31" i="11"/>
  <c r="H42" i="10"/>
  <c r="I42" i="10"/>
  <c r="J42" i="10"/>
  <c r="K42" i="10"/>
  <c r="L42" i="10"/>
  <c r="G42" i="10"/>
  <c r="I2" i="12"/>
  <c r="J2" i="12" s="1"/>
  <c r="K2" i="12" s="1"/>
  <c r="L2" i="12" s="1"/>
  <c r="M2" i="12" s="1"/>
  <c r="N2" i="12" s="1"/>
  <c r="O2" i="12" s="1"/>
  <c r="P2" i="12" s="1"/>
  <c r="Q2" i="12" s="1"/>
  <c r="R2" i="12" s="1"/>
  <c r="D9" i="3"/>
  <c r="E9" i="3"/>
  <c r="F9" i="3"/>
  <c r="G9" i="3"/>
  <c r="H9" i="3"/>
  <c r="I9" i="3"/>
  <c r="J9" i="3"/>
  <c r="K9" i="3"/>
  <c r="L9" i="3"/>
  <c r="C9" i="3"/>
  <c r="D21" i="11"/>
  <c r="F20" i="11"/>
  <c r="F21" i="11" s="1"/>
  <c r="F22" i="11" s="1"/>
  <c r="G9" i="11"/>
  <c r="F2" i="11"/>
  <c r="G2" i="11" s="1"/>
  <c r="H2" i="11" s="1"/>
  <c r="I2" i="11" s="1"/>
  <c r="J2" i="11" s="1"/>
  <c r="H30" i="10"/>
  <c r="I30" i="10"/>
  <c r="J30" i="10"/>
  <c r="K30" i="10"/>
  <c r="L30" i="10"/>
  <c r="G30" i="10"/>
  <c r="G21" i="10"/>
  <c r="H21" i="10"/>
  <c r="I21" i="10"/>
  <c r="J21" i="10"/>
  <c r="K21" i="10"/>
  <c r="L21" i="10"/>
  <c r="G22" i="10"/>
  <c r="H22" i="10"/>
  <c r="I22" i="10"/>
  <c r="J22" i="10"/>
  <c r="K22" i="10"/>
  <c r="L22" i="10"/>
  <c r="G23" i="10"/>
  <c r="H23" i="10"/>
  <c r="I23" i="10"/>
  <c r="J23" i="10"/>
  <c r="K23" i="10"/>
  <c r="L23" i="10"/>
  <c r="G24" i="10"/>
  <c r="H24" i="10"/>
  <c r="I24" i="10"/>
  <c r="J24" i="10"/>
  <c r="K24" i="10"/>
  <c r="L24" i="10"/>
  <c r="G25" i="10"/>
  <c r="H25" i="10"/>
  <c r="I25" i="10"/>
  <c r="J25" i="10"/>
  <c r="K25" i="10"/>
  <c r="L25" i="10"/>
  <c r="G26" i="10"/>
  <c r="H26" i="10"/>
  <c r="I26" i="10"/>
  <c r="J26" i="10"/>
  <c r="K26" i="10"/>
  <c r="L26" i="10"/>
  <c r="G27" i="10"/>
  <c r="H27" i="10"/>
  <c r="I27" i="10"/>
  <c r="J27" i="10"/>
  <c r="K27" i="10"/>
  <c r="L27" i="10"/>
  <c r="G28" i="10"/>
  <c r="H28" i="10"/>
  <c r="I28" i="10"/>
  <c r="J28" i="10"/>
  <c r="K28" i="10"/>
  <c r="L28" i="10"/>
  <c r="H20" i="10"/>
  <c r="I20" i="10"/>
  <c r="J20" i="10"/>
  <c r="K20" i="10"/>
  <c r="L20" i="10"/>
  <c r="G20" i="10"/>
  <c r="G13" i="10"/>
  <c r="H13" i="10"/>
  <c r="I13" i="10"/>
  <c r="J13" i="10"/>
  <c r="K13" i="10"/>
  <c r="L13" i="10"/>
  <c r="G14" i="10"/>
  <c r="H14" i="10"/>
  <c r="I14" i="10"/>
  <c r="J14" i="10"/>
  <c r="K14" i="10"/>
  <c r="L14" i="10"/>
  <c r="H12" i="10"/>
  <c r="I12" i="10"/>
  <c r="J12" i="10"/>
  <c r="K12" i="10"/>
  <c r="L12" i="10"/>
  <c r="G12" i="10"/>
  <c r="H8" i="10"/>
  <c r="I8" i="10"/>
  <c r="J8" i="10"/>
  <c r="K8" i="10"/>
  <c r="L8" i="10"/>
  <c r="G8" i="10"/>
  <c r="H7" i="10"/>
  <c r="I7" i="10"/>
  <c r="J7" i="10"/>
  <c r="K7" i="10"/>
  <c r="L7" i="10"/>
  <c r="G7" i="10"/>
  <c r="G6" i="10"/>
  <c r="H6" i="10"/>
  <c r="I6" i="10"/>
  <c r="J6" i="10"/>
  <c r="K6" i="10"/>
  <c r="L6" i="10"/>
  <c r="H5" i="10"/>
  <c r="I5" i="10"/>
  <c r="J5" i="10"/>
  <c r="K5" i="10"/>
  <c r="L5" i="10"/>
  <c r="G5" i="10"/>
  <c r="L29" i="10"/>
  <c r="L31" i="10" s="1"/>
  <c r="K29" i="10"/>
  <c r="K31" i="10" s="1"/>
  <c r="I29" i="10"/>
  <c r="I31" i="10" s="1"/>
  <c r="H29" i="10"/>
  <c r="H31" i="10" s="1"/>
  <c r="G29" i="10"/>
  <c r="G31" i="10" s="1"/>
  <c r="L15" i="10"/>
  <c r="K15" i="10"/>
  <c r="J15" i="10"/>
  <c r="I15" i="10"/>
  <c r="H15" i="10"/>
  <c r="G15" i="10"/>
  <c r="L9" i="10"/>
  <c r="L17" i="10" s="1"/>
  <c r="J9" i="10"/>
  <c r="J17" i="10" s="1"/>
  <c r="I9" i="10"/>
  <c r="I17" i="10" s="1"/>
  <c r="H9" i="10"/>
  <c r="H17" i="10" s="1"/>
  <c r="G9" i="10"/>
  <c r="C29" i="7"/>
  <c r="C27" i="7"/>
  <c r="C24" i="7"/>
  <c r="C28" i="7" s="1"/>
  <c r="C22" i="7"/>
  <c r="I16" i="7"/>
  <c r="I15" i="7"/>
  <c r="J8" i="7"/>
  <c r="J9" i="7"/>
  <c r="J10" i="7"/>
  <c r="J11" i="7"/>
  <c r="J12" i="7"/>
  <c r="J13" i="7"/>
  <c r="J7" i="7"/>
  <c r="H8" i="7"/>
  <c r="H9" i="7"/>
  <c r="H10" i="7"/>
  <c r="H11" i="7"/>
  <c r="H12" i="7"/>
  <c r="H13" i="7"/>
  <c r="E8" i="7"/>
  <c r="E9" i="7"/>
  <c r="E10" i="7"/>
  <c r="E11" i="7"/>
  <c r="E12" i="7"/>
  <c r="E13" i="7"/>
  <c r="E7" i="7"/>
  <c r="H7" i="7" s="1"/>
  <c r="J11" i="6"/>
  <c r="J5" i="6"/>
  <c r="M5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6" i="6"/>
  <c r="M6" i="6" s="1"/>
  <c r="C95" i="3"/>
  <c r="D95" i="3"/>
  <c r="E95" i="3"/>
  <c r="F95" i="3"/>
  <c r="G95" i="3"/>
  <c r="H95" i="3"/>
  <c r="I95" i="3"/>
  <c r="J95" i="3"/>
  <c r="K95" i="3"/>
  <c r="L95" i="3"/>
  <c r="C96" i="3"/>
  <c r="D96" i="3"/>
  <c r="E96" i="3"/>
  <c r="F96" i="3"/>
  <c r="G96" i="3"/>
  <c r="H96" i="3"/>
  <c r="I96" i="3"/>
  <c r="J96" i="3"/>
  <c r="K96" i="3"/>
  <c r="L96" i="3"/>
  <c r="C97" i="3"/>
  <c r="D97" i="3"/>
  <c r="E97" i="3"/>
  <c r="F97" i="3"/>
  <c r="G97" i="3"/>
  <c r="H97" i="3"/>
  <c r="I97" i="3"/>
  <c r="J97" i="3"/>
  <c r="K97" i="3"/>
  <c r="L97" i="3"/>
  <c r="C98" i="3"/>
  <c r="D98" i="3"/>
  <c r="E98" i="3"/>
  <c r="F98" i="3"/>
  <c r="G98" i="3"/>
  <c r="H98" i="3"/>
  <c r="I98" i="3"/>
  <c r="J98" i="3"/>
  <c r="K98" i="3"/>
  <c r="L98" i="3"/>
  <c r="C99" i="3"/>
  <c r="D99" i="3"/>
  <c r="E99" i="3"/>
  <c r="F99" i="3"/>
  <c r="G99" i="3"/>
  <c r="H99" i="3"/>
  <c r="I99" i="3"/>
  <c r="J99" i="3"/>
  <c r="K99" i="3"/>
  <c r="L99" i="3"/>
  <c r="D94" i="3"/>
  <c r="E94" i="3"/>
  <c r="F94" i="3"/>
  <c r="G94" i="3"/>
  <c r="H94" i="3"/>
  <c r="I94" i="3"/>
  <c r="J94" i="3"/>
  <c r="K94" i="3"/>
  <c r="L94" i="3"/>
  <c r="C94" i="3"/>
  <c r="C82" i="3"/>
  <c r="D82" i="3"/>
  <c r="E82" i="3"/>
  <c r="F82" i="3"/>
  <c r="G82" i="3"/>
  <c r="H82" i="3"/>
  <c r="I82" i="3"/>
  <c r="J82" i="3"/>
  <c r="K82" i="3"/>
  <c r="L82" i="3"/>
  <c r="C83" i="3"/>
  <c r="D83" i="3"/>
  <c r="E83" i="3"/>
  <c r="F83" i="3"/>
  <c r="G83" i="3"/>
  <c r="H83" i="3"/>
  <c r="I83" i="3"/>
  <c r="J83" i="3"/>
  <c r="K83" i="3"/>
  <c r="L83" i="3"/>
  <c r="C84" i="3"/>
  <c r="D84" i="3"/>
  <c r="E84" i="3"/>
  <c r="F84" i="3"/>
  <c r="G84" i="3"/>
  <c r="H84" i="3"/>
  <c r="I84" i="3"/>
  <c r="J84" i="3"/>
  <c r="K84" i="3"/>
  <c r="L84" i="3"/>
  <c r="L91" i="3" s="1"/>
  <c r="C85" i="3"/>
  <c r="D85" i="3"/>
  <c r="E85" i="3"/>
  <c r="F85" i="3"/>
  <c r="G85" i="3"/>
  <c r="H85" i="3"/>
  <c r="I85" i="3"/>
  <c r="J85" i="3"/>
  <c r="K85" i="3"/>
  <c r="L85" i="3"/>
  <c r="C86" i="3"/>
  <c r="D86" i="3"/>
  <c r="E86" i="3"/>
  <c r="F86" i="3"/>
  <c r="G86" i="3"/>
  <c r="H86" i="3"/>
  <c r="I86" i="3"/>
  <c r="J86" i="3"/>
  <c r="K86" i="3"/>
  <c r="L86" i="3"/>
  <c r="C87" i="3"/>
  <c r="D87" i="3"/>
  <c r="E87" i="3"/>
  <c r="F87" i="3"/>
  <c r="G87" i="3"/>
  <c r="H87" i="3"/>
  <c r="I87" i="3"/>
  <c r="J87" i="3"/>
  <c r="K87" i="3"/>
  <c r="L87" i="3"/>
  <c r="C88" i="3"/>
  <c r="D88" i="3"/>
  <c r="E88" i="3"/>
  <c r="F88" i="3"/>
  <c r="G88" i="3"/>
  <c r="H88" i="3"/>
  <c r="I88" i="3"/>
  <c r="J88" i="3"/>
  <c r="K88" i="3"/>
  <c r="L88" i="3"/>
  <c r="C89" i="3"/>
  <c r="D89" i="3"/>
  <c r="E89" i="3"/>
  <c r="F89" i="3"/>
  <c r="G89" i="3"/>
  <c r="H89" i="3"/>
  <c r="I89" i="3"/>
  <c r="J89" i="3"/>
  <c r="K89" i="3"/>
  <c r="L89" i="3"/>
  <c r="C90" i="3"/>
  <c r="D90" i="3"/>
  <c r="E90" i="3"/>
  <c r="F90" i="3"/>
  <c r="G90" i="3"/>
  <c r="H90" i="3"/>
  <c r="I90" i="3"/>
  <c r="J90" i="3"/>
  <c r="K90" i="3"/>
  <c r="L90" i="3"/>
  <c r="D81" i="3"/>
  <c r="E81" i="3"/>
  <c r="F81" i="3"/>
  <c r="G81" i="3"/>
  <c r="H81" i="3"/>
  <c r="I81" i="3"/>
  <c r="J81" i="3"/>
  <c r="K81" i="3"/>
  <c r="L81" i="3"/>
  <c r="C81" i="3"/>
  <c r="C71" i="3"/>
  <c r="D71" i="3"/>
  <c r="E71" i="3"/>
  <c r="F71" i="3"/>
  <c r="G71" i="3"/>
  <c r="H71" i="3"/>
  <c r="I71" i="3"/>
  <c r="J71" i="3"/>
  <c r="K71" i="3"/>
  <c r="L71" i="3"/>
  <c r="C72" i="3"/>
  <c r="D72" i="3"/>
  <c r="E72" i="3"/>
  <c r="F72" i="3"/>
  <c r="G72" i="3"/>
  <c r="H72" i="3"/>
  <c r="I72" i="3"/>
  <c r="J72" i="3"/>
  <c r="K72" i="3"/>
  <c r="L72" i="3"/>
  <c r="C73" i="3"/>
  <c r="D73" i="3"/>
  <c r="E73" i="3"/>
  <c r="F73" i="3"/>
  <c r="G73" i="3"/>
  <c r="H73" i="3"/>
  <c r="I73" i="3"/>
  <c r="J73" i="3"/>
  <c r="K73" i="3"/>
  <c r="L73" i="3"/>
  <c r="C74" i="3"/>
  <c r="D74" i="3"/>
  <c r="E74" i="3"/>
  <c r="F74" i="3"/>
  <c r="G74" i="3"/>
  <c r="H74" i="3"/>
  <c r="I74" i="3"/>
  <c r="J74" i="3"/>
  <c r="K74" i="3"/>
  <c r="L74" i="3"/>
  <c r="C75" i="3"/>
  <c r="D75" i="3"/>
  <c r="E75" i="3"/>
  <c r="F75" i="3"/>
  <c r="G75" i="3"/>
  <c r="H75" i="3"/>
  <c r="I75" i="3"/>
  <c r="J75" i="3"/>
  <c r="K75" i="3"/>
  <c r="L75" i="3"/>
  <c r="C76" i="3"/>
  <c r="D76" i="3"/>
  <c r="E76" i="3"/>
  <c r="F76" i="3"/>
  <c r="G76" i="3"/>
  <c r="H76" i="3"/>
  <c r="I76" i="3"/>
  <c r="J76" i="3"/>
  <c r="K76" i="3"/>
  <c r="L76" i="3"/>
  <c r="C77" i="3"/>
  <c r="D77" i="3"/>
  <c r="E77" i="3"/>
  <c r="F77" i="3"/>
  <c r="G77" i="3"/>
  <c r="H77" i="3"/>
  <c r="I77" i="3"/>
  <c r="J77" i="3"/>
  <c r="K77" i="3"/>
  <c r="L77" i="3"/>
  <c r="D70" i="3"/>
  <c r="E70" i="3"/>
  <c r="F70" i="3"/>
  <c r="G70" i="3"/>
  <c r="H70" i="3"/>
  <c r="I70" i="3"/>
  <c r="J70" i="3"/>
  <c r="K70" i="3"/>
  <c r="L70" i="3"/>
  <c r="C70" i="3"/>
  <c r="C78" i="3" s="1"/>
  <c r="C102" i="3" s="1"/>
  <c r="L100" i="3"/>
  <c r="K100" i="3"/>
  <c r="J100" i="3"/>
  <c r="I100" i="3"/>
  <c r="H100" i="3"/>
  <c r="G100" i="3"/>
  <c r="F100" i="3"/>
  <c r="E100" i="3"/>
  <c r="D100" i="3"/>
  <c r="C100" i="3"/>
  <c r="K91" i="3"/>
  <c r="J91" i="3"/>
  <c r="I91" i="3"/>
  <c r="H91" i="3"/>
  <c r="G91" i="3"/>
  <c r="F91" i="3"/>
  <c r="D91" i="3"/>
  <c r="C91" i="3"/>
  <c r="L56" i="3"/>
  <c r="K56" i="3"/>
  <c r="J56" i="3"/>
  <c r="I56" i="3"/>
  <c r="H56" i="3"/>
  <c r="G56" i="3"/>
  <c r="F56" i="3"/>
  <c r="E56" i="3"/>
  <c r="D56" i="3"/>
  <c r="C56" i="3"/>
  <c r="L61" i="3"/>
  <c r="K61" i="3"/>
  <c r="J61" i="3"/>
  <c r="I61" i="3"/>
  <c r="H61" i="3"/>
  <c r="G61" i="3"/>
  <c r="F61" i="3"/>
  <c r="E61" i="3"/>
  <c r="D61" i="3"/>
  <c r="L60" i="3"/>
  <c r="K60" i="3"/>
  <c r="J60" i="3"/>
  <c r="I60" i="3"/>
  <c r="H60" i="3"/>
  <c r="G60" i="3"/>
  <c r="F60" i="3"/>
  <c r="E60" i="3"/>
  <c r="D60" i="3"/>
  <c r="L59" i="3"/>
  <c r="L62" i="3" s="1"/>
  <c r="K59" i="3"/>
  <c r="K62" i="3" s="1"/>
  <c r="J59" i="3"/>
  <c r="J62" i="3" s="1"/>
  <c r="I59" i="3"/>
  <c r="I62" i="3" s="1"/>
  <c r="H59" i="3"/>
  <c r="H62" i="3" s="1"/>
  <c r="G59" i="3"/>
  <c r="G62" i="3" s="1"/>
  <c r="F59" i="3"/>
  <c r="F62" i="3" s="1"/>
  <c r="E59" i="3"/>
  <c r="E62" i="3" s="1"/>
  <c r="D59" i="3"/>
  <c r="D62" i="3" s="1"/>
  <c r="C61" i="3"/>
  <c r="C60" i="3"/>
  <c r="C59" i="3"/>
  <c r="L55" i="3"/>
  <c r="K55" i="3"/>
  <c r="J55" i="3"/>
  <c r="I55" i="3"/>
  <c r="H55" i="3"/>
  <c r="G55" i="3"/>
  <c r="F55" i="3"/>
  <c r="E55" i="3"/>
  <c r="D55" i="3"/>
  <c r="C55" i="3"/>
  <c r="L54" i="3"/>
  <c r="K54" i="3"/>
  <c r="J54" i="3"/>
  <c r="I54" i="3"/>
  <c r="H54" i="3"/>
  <c r="G54" i="3"/>
  <c r="F54" i="3"/>
  <c r="E54" i="3"/>
  <c r="D54" i="3"/>
  <c r="C54" i="3"/>
  <c r="L53" i="3"/>
  <c r="K53" i="3"/>
  <c r="J53" i="3"/>
  <c r="J57" i="3" s="1"/>
  <c r="I53" i="3"/>
  <c r="I57" i="3" s="1"/>
  <c r="H53" i="3"/>
  <c r="H57" i="3" s="1"/>
  <c r="G53" i="3"/>
  <c r="G57" i="3" s="1"/>
  <c r="F53" i="3"/>
  <c r="F57" i="3" s="1"/>
  <c r="E53" i="3"/>
  <c r="E57" i="3" s="1"/>
  <c r="D53" i="3"/>
  <c r="D57" i="3" s="1"/>
  <c r="C53" i="3"/>
  <c r="L51" i="3"/>
  <c r="K51" i="3"/>
  <c r="J51" i="3"/>
  <c r="I51" i="3"/>
  <c r="H51" i="3"/>
  <c r="G51" i="3"/>
  <c r="F51" i="3"/>
  <c r="E51" i="3"/>
  <c r="D51" i="3"/>
  <c r="L50" i="3"/>
  <c r="K50" i="3"/>
  <c r="J50" i="3"/>
  <c r="I50" i="3"/>
  <c r="H50" i="3"/>
  <c r="G50" i="3"/>
  <c r="F50" i="3"/>
  <c r="E50" i="3"/>
  <c r="D50" i="3"/>
  <c r="L49" i="3"/>
  <c r="K49" i="3"/>
  <c r="J49" i="3"/>
  <c r="I49" i="3"/>
  <c r="H49" i="3"/>
  <c r="G49" i="3"/>
  <c r="F49" i="3"/>
  <c r="E49" i="3"/>
  <c r="D49" i="3"/>
  <c r="L48" i="3"/>
  <c r="K48" i="3"/>
  <c r="J48" i="3"/>
  <c r="I48" i="3"/>
  <c r="H48" i="3"/>
  <c r="G48" i="3"/>
  <c r="F48" i="3"/>
  <c r="E48" i="3"/>
  <c r="D48" i="3"/>
  <c r="L47" i="3"/>
  <c r="K47" i="3"/>
  <c r="J47" i="3"/>
  <c r="I47" i="3"/>
  <c r="H47" i="3"/>
  <c r="G47" i="3"/>
  <c r="F47" i="3"/>
  <c r="E47" i="3"/>
  <c r="D47" i="3"/>
  <c r="C51" i="3"/>
  <c r="C50" i="3"/>
  <c r="C49" i="3"/>
  <c r="C48" i="3"/>
  <c r="C47" i="3"/>
  <c r="L36" i="3"/>
  <c r="K36" i="3"/>
  <c r="K41" i="3" s="1"/>
  <c r="J36" i="3"/>
  <c r="J41" i="3" s="1"/>
  <c r="I36" i="3"/>
  <c r="I41" i="3" s="1"/>
  <c r="H36" i="3"/>
  <c r="H41" i="3" s="1"/>
  <c r="G36" i="3"/>
  <c r="G41" i="3" s="1"/>
  <c r="F36" i="3"/>
  <c r="F41" i="3" s="1"/>
  <c r="E36" i="3"/>
  <c r="E41" i="3" s="1"/>
  <c r="D36" i="3"/>
  <c r="D41" i="3" s="1"/>
  <c r="C36" i="3"/>
  <c r="C41" i="3" s="1"/>
  <c r="L30" i="3"/>
  <c r="K30" i="3"/>
  <c r="J30" i="3"/>
  <c r="I30" i="3"/>
  <c r="H30" i="3"/>
  <c r="G30" i="3"/>
  <c r="F30" i="3"/>
  <c r="E30" i="3"/>
  <c r="D30" i="3"/>
  <c r="C30" i="3"/>
  <c r="L24" i="3"/>
  <c r="K24" i="3"/>
  <c r="J24" i="3"/>
  <c r="I24" i="3"/>
  <c r="H24" i="3"/>
  <c r="G24" i="3"/>
  <c r="F24" i="3"/>
  <c r="E24" i="3"/>
  <c r="D24" i="3"/>
  <c r="C24" i="3"/>
  <c r="L21" i="3"/>
  <c r="K21" i="3"/>
  <c r="J21" i="3"/>
  <c r="I21" i="3"/>
  <c r="H21" i="3"/>
  <c r="G21" i="3"/>
  <c r="F21" i="3"/>
  <c r="E21" i="3"/>
  <c r="D21" i="3"/>
  <c r="C21" i="3"/>
  <c r="L15" i="3"/>
  <c r="K15" i="3"/>
  <c r="J15" i="3"/>
  <c r="I15" i="3"/>
  <c r="H15" i="3"/>
  <c r="G15" i="3"/>
  <c r="F15" i="3"/>
  <c r="E15" i="3"/>
  <c r="D15" i="3"/>
  <c r="C15" i="3"/>
  <c r="L6" i="3"/>
  <c r="H4" i="12" s="1"/>
  <c r="K6" i="3"/>
  <c r="G4" i="12" s="1"/>
  <c r="J6" i="3"/>
  <c r="F4" i="12" s="1"/>
  <c r="I6" i="3"/>
  <c r="E4" i="12" s="1"/>
  <c r="H6" i="3"/>
  <c r="D4" i="12" s="1"/>
  <c r="G6" i="3"/>
  <c r="C4" i="12" s="1"/>
  <c r="F6" i="3"/>
  <c r="E6" i="3"/>
  <c r="D6" i="3"/>
  <c r="C6" i="3"/>
  <c r="L3" i="3"/>
  <c r="D3" i="3"/>
  <c r="E3" i="3"/>
  <c r="F3" i="3"/>
  <c r="G3" i="3"/>
  <c r="H3" i="3"/>
  <c r="I3" i="3"/>
  <c r="J3" i="3"/>
  <c r="K3" i="3"/>
  <c r="C3" i="3"/>
  <c r="B2" i="3"/>
  <c r="K73" i="2"/>
  <c r="J73" i="2"/>
  <c r="I73" i="2"/>
  <c r="H73" i="2"/>
  <c r="K51" i="2"/>
  <c r="J51" i="2"/>
  <c r="I51" i="2"/>
  <c r="H51" i="2"/>
  <c r="G51" i="2"/>
  <c r="F51" i="2"/>
  <c r="E51" i="2"/>
  <c r="D51" i="2"/>
  <c r="C51" i="2"/>
  <c r="B51" i="2"/>
  <c r="K34" i="2"/>
  <c r="J34" i="2"/>
  <c r="I34" i="2"/>
  <c r="H34" i="2"/>
  <c r="G34" i="2"/>
  <c r="F34" i="2"/>
  <c r="E34" i="2"/>
  <c r="D34" i="2"/>
  <c r="C34" i="2"/>
  <c r="B34" i="2"/>
  <c r="K32" i="2"/>
  <c r="J32" i="2"/>
  <c r="I32" i="2"/>
  <c r="H32" i="2"/>
  <c r="G32" i="2"/>
  <c r="F32" i="2"/>
  <c r="E32" i="2"/>
  <c r="D32" i="2"/>
  <c r="C32" i="2"/>
  <c r="B32" i="2"/>
  <c r="K15" i="2"/>
  <c r="B15" i="2"/>
  <c r="B6" i="2"/>
  <c r="E1" i="2"/>
  <c r="J29" i="10" l="1"/>
  <c r="J31" i="10" s="1"/>
  <c r="H10" i="12"/>
  <c r="E10" i="12"/>
  <c r="D10" i="12"/>
  <c r="F10" i="12"/>
  <c r="G10" i="12"/>
  <c r="J15" i="7"/>
  <c r="J16" i="7"/>
  <c r="C19" i="7" s="1"/>
  <c r="C30" i="7" s="1"/>
  <c r="C32" i="7" s="1"/>
  <c r="D15" i="11" s="1"/>
  <c r="H5" i="12"/>
  <c r="C57" i="3"/>
  <c r="F5" i="12"/>
  <c r="D5" i="12"/>
  <c r="G5" i="12"/>
  <c r="E5" i="12"/>
  <c r="H9" i="11"/>
  <c r="G17" i="10"/>
  <c r="K9" i="10"/>
  <c r="K17" i="10" s="1"/>
  <c r="L33" i="10"/>
  <c r="L41" i="10" s="1"/>
  <c r="L44" i="10" s="1"/>
  <c r="I33" i="10"/>
  <c r="I41" i="10" s="1"/>
  <c r="I44" i="10" s="1"/>
  <c r="H33" i="10"/>
  <c r="H41" i="10" s="1"/>
  <c r="H44" i="10" s="1"/>
  <c r="G33" i="10"/>
  <c r="G41" i="10" s="1"/>
  <c r="G44" i="10" s="1"/>
  <c r="J33" i="10"/>
  <c r="J41" i="10" s="1"/>
  <c r="J44" i="10" s="1"/>
  <c r="D78" i="3"/>
  <c r="D102" i="3" s="1"/>
  <c r="E78" i="3"/>
  <c r="E102" i="3" s="1"/>
  <c r="F78" i="3"/>
  <c r="F102" i="3" s="1"/>
  <c r="G78" i="3"/>
  <c r="G102" i="3" s="1"/>
  <c r="H78" i="3"/>
  <c r="H102" i="3" s="1"/>
  <c r="I78" i="3"/>
  <c r="I102" i="3" s="1"/>
  <c r="J78" i="3"/>
  <c r="J102" i="3" s="1"/>
  <c r="K78" i="3"/>
  <c r="K102" i="3" s="1"/>
  <c r="L78" i="3"/>
  <c r="L102" i="3" s="1"/>
  <c r="E91" i="3"/>
  <c r="K57" i="3"/>
  <c r="C62" i="3"/>
  <c r="L57" i="3"/>
  <c r="L64" i="3"/>
  <c r="L66" i="3" s="1"/>
  <c r="K64" i="3"/>
  <c r="K66" i="3" s="1"/>
  <c r="J64" i="3"/>
  <c r="J66" i="3" s="1"/>
  <c r="I64" i="3"/>
  <c r="I66" i="3" s="1"/>
  <c r="H64" i="3"/>
  <c r="H66" i="3" s="1"/>
  <c r="G64" i="3"/>
  <c r="G66" i="3" s="1"/>
  <c r="F64" i="3"/>
  <c r="F66" i="3" s="1"/>
  <c r="E64" i="3"/>
  <c r="E66" i="3" s="1"/>
  <c r="D64" i="3"/>
  <c r="D66" i="3" s="1"/>
  <c r="C64" i="3"/>
  <c r="C66" i="3" s="1"/>
  <c r="L41" i="3"/>
  <c r="F10" i="3"/>
  <c r="K12" i="3"/>
  <c r="K13" i="3" s="1"/>
  <c r="D10" i="3"/>
  <c r="C12" i="3"/>
  <c r="C18" i="3" s="1"/>
  <c r="C19" i="3" s="1"/>
  <c r="J12" i="3"/>
  <c r="J13" i="3" s="1"/>
  <c r="C16" i="3"/>
  <c r="C22" i="3"/>
  <c r="K22" i="3"/>
  <c r="K7" i="3"/>
  <c r="G16" i="3"/>
  <c r="E22" i="3"/>
  <c r="F25" i="3"/>
  <c r="G7" i="3"/>
  <c r="L10" i="3"/>
  <c r="H16" i="3"/>
  <c r="G25" i="3"/>
  <c r="I7" i="3"/>
  <c r="J18" i="3"/>
  <c r="G12" i="3"/>
  <c r="G22" i="3"/>
  <c r="H22" i="3"/>
  <c r="E16" i="3"/>
  <c r="F22" i="3"/>
  <c r="F16" i="3"/>
  <c r="L25" i="3"/>
  <c r="I10" i="3"/>
  <c r="J16" i="3"/>
  <c r="E10" i="3"/>
  <c r="I16" i="3"/>
  <c r="I22" i="3"/>
  <c r="F12" i="3"/>
  <c r="H10" i="3"/>
  <c r="J10" i="3"/>
  <c r="K16" i="3"/>
  <c r="J22" i="3"/>
  <c r="J7" i="3"/>
  <c r="J25" i="3"/>
  <c r="D25" i="3"/>
  <c r="H25" i="3"/>
  <c r="D16" i="3"/>
  <c r="L16" i="3"/>
  <c r="C25" i="3"/>
  <c r="K25" i="3"/>
  <c r="L12" i="3"/>
  <c r="E12" i="3"/>
  <c r="D22" i="3"/>
  <c r="L22" i="3"/>
  <c r="D12" i="3"/>
  <c r="E25" i="3"/>
  <c r="D7" i="3"/>
  <c r="L7" i="3"/>
  <c r="G10" i="3"/>
  <c r="E7" i="3"/>
  <c r="F7" i="3"/>
  <c r="H12" i="3"/>
  <c r="I25" i="3"/>
  <c r="H7" i="3"/>
  <c r="C10" i="3"/>
  <c r="K10" i="3"/>
  <c r="I12" i="3"/>
  <c r="O10" i="11" l="1"/>
  <c r="N10" i="11"/>
  <c r="M10" i="11"/>
  <c r="K10" i="11"/>
  <c r="D20" i="11"/>
  <c r="L10" i="11"/>
  <c r="F10" i="11"/>
  <c r="G10" i="11"/>
  <c r="H6" i="12"/>
  <c r="I5" i="12" s="1"/>
  <c r="J5" i="12" s="1"/>
  <c r="I9" i="11"/>
  <c r="H10" i="11"/>
  <c r="K33" i="10"/>
  <c r="K41" i="10" s="1"/>
  <c r="K44" i="10" s="1"/>
  <c r="L45" i="10" s="1"/>
  <c r="C13" i="3"/>
  <c r="C27" i="3"/>
  <c r="K18" i="3"/>
  <c r="K19" i="3" s="1"/>
  <c r="C33" i="3"/>
  <c r="E18" i="3"/>
  <c r="E13" i="3"/>
  <c r="G18" i="3"/>
  <c r="G13" i="3"/>
  <c r="F18" i="3"/>
  <c r="F13" i="3"/>
  <c r="L18" i="3"/>
  <c r="L13" i="3"/>
  <c r="H18" i="3"/>
  <c r="H13" i="3"/>
  <c r="J19" i="3"/>
  <c r="J27" i="3"/>
  <c r="I18" i="3"/>
  <c r="I13" i="3"/>
  <c r="D18" i="3"/>
  <c r="D13" i="3"/>
  <c r="H11" i="12" l="1"/>
  <c r="E7" i="11" s="1"/>
  <c r="E11" i="12"/>
  <c r="D11" i="12"/>
  <c r="F11" i="12"/>
  <c r="G11" i="12"/>
  <c r="F7" i="12"/>
  <c r="J34" i="10"/>
  <c r="J9" i="11"/>
  <c r="J10" i="11" s="1"/>
  <c r="I10" i="11"/>
  <c r="C28" i="3"/>
  <c r="C31" i="3"/>
  <c r="K27" i="3"/>
  <c r="G19" i="3"/>
  <c r="G27" i="3"/>
  <c r="F19" i="3"/>
  <c r="F27" i="3"/>
  <c r="I19" i="3"/>
  <c r="I27" i="3"/>
  <c r="C38" i="3"/>
  <c r="C34" i="3"/>
  <c r="J33" i="3"/>
  <c r="J28" i="3"/>
  <c r="J31" i="3"/>
  <c r="D19" i="3"/>
  <c r="D27" i="3"/>
  <c r="H19" i="3"/>
  <c r="H27" i="3"/>
  <c r="E19" i="3"/>
  <c r="E27" i="3"/>
  <c r="L19" i="3"/>
  <c r="L27" i="3"/>
  <c r="F8" i="12" l="1"/>
  <c r="I4" i="12"/>
  <c r="I10" i="12" s="1"/>
  <c r="I11" i="12" s="1"/>
  <c r="J36" i="10"/>
  <c r="G7" i="12"/>
  <c r="K34" i="10"/>
  <c r="C7" i="12"/>
  <c r="G34" i="10"/>
  <c r="E7" i="12"/>
  <c r="I34" i="10"/>
  <c r="D7" i="12"/>
  <c r="H34" i="10"/>
  <c r="L34" i="10"/>
  <c r="H7" i="12"/>
  <c r="K28" i="3"/>
  <c r="K33" i="3"/>
  <c r="K31" i="3"/>
  <c r="C42" i="3"/>
  <c r="C44" i="3" s="1"/>
  <c r="L31" i="3"/>
  <c r="L33" i="3"/>
  <c r="L28" i="3"/>
  <c r="E31" i="3"/>
  <c r="E33" i="3"/>
  <c r="E28" i="3"/>
  <c r="J38" i="3"/>
  <c r="J34" i="3"/>
  <c r="D31" i="3"/>
  <c r="D33" i="3"/>
  <c r="D28" i="3"/>
  <c r="F28" i="3"/>
  <c r="F33" i="3"/>
  <c r="F31" i="3"/>
  <c r="H28" i="3"/>
  <c r="H31" i="3"/>
  <c r="H33" i="3"/>
  <c r="G33" i="3"/>
  <c r="G28" i="3"/>
  <c r="G31" i="3"/>
  <c r="I33" i="3"/>
  <c r="I28" i="3"/>
  <c r="I31" i="3"/>
  <c r="G8" i="12" l="1"/>
  <c r="C8" i="12"/>
  <c r="E8" i="12"/>
  <c r="D8" i="12"/>
  <c r="J4" i="12"/>
  <c r="J10" i="12" s="1"/>
  <c r="J11" i="12" s="1"/>
  <c r="F7" i="11"/>
  <c r="H8" i="12"/>
  <c r="H9" i="12" s="1"/>
  <c r="I8" i="12" s="1"/>
  <c r="J8" i="12" s="1"/>
  <c r="K8" i="12" s="1"/>
  <c r="L8" i="12" s="1"/>
  <c r="M8" i="12" s="1"/>
  <c r="N8" i="12" s="1"/>
  <c r="O8" i="12" s="1"/>
  <c r="P8" i="12" s="1"/>
  <c r="Q8" i="12" s="1"/>
  <c r="E4" i="11"/>
  <c r="E6" i="11" s="1"/>
  <c r="E8" i="11" s="1"/>
  <c r="K34" i="3"/>
  <c r="K38" i="3"/>
  <c r="K36" i="10"/>
  <c r="G36" i="10"/>
  <c r="I36" i="10"/>
  <c r="H36" i="10"/>
  <c r="L36" i="10"/>
  <c r="J42" i="3"/>
  <c r="J44" i="3" s="1"/>
  <c r="K39" i="3"/>
  <c r="K42" i="3"/>
  <c r="K44" i="3" s="1"/>
  <c r="F34" i="3"/>
  <c r="F38" i="3"/>
  <c r="I38" i="3"/>
  <c r="J39" i="3" s="1"/>
  <c r="I34" i="3"/>
  <c r="D38" i="3"/>
  <c r="D34" i="3"/>
  <c r="H34" i="3"/>
  <c r="H38" i="3"/>
  <c r="E34" i="3"/>
  <c r="E38" i="3"/>
  <c r="G34" i="3"/>
  <c r="G38" i="3"/>
  <c r="L38" i="3"/>
  <c r="L34" i="3"/>
  <c r="G7" i="11" l="1"/>
  <c r="J7" i="12"/>
  <c r="G4" i="11" s="1"/>
  <c r="G6" i="11" s="1"/>
  <c r="G8" i="11" s="1"/>
  <c r="I7" i="12"/>
  <c r="F4" i="11" s="1"/>
  <c r="F6" i="11" s="1"/>
  <c r="F8" i="11" s="1"/>
  <c r="E39" i="3"/>
  <c r="E42" i="3"/>
  <c r="E44" i="3" s="1"/>
  <c r="H39" i="3"/>
  <c r="H42" i="3"/>
  <c r="H44" i="3" s="1"/>
  <c r="G39" i="3"/>
  <c r="G42" i="3"/>
  <c r="G44" i="3" s="1"/>
  <c r="I39" i="3"/>
  <c r="I42" i="3"/>
  <c r="I44" i="3" s="1"/>
  <c r="F39" i="3"/>
  <c r="F42" i="3"/>
  <c r="F44" i="3"/>
  <c r="L39" i="3"/>
  <c r="L42" i="3"/>
  <c r="L44" i="3" s="1"/>
  <c r="D39" i="3"/>
  <c r="D42" i="3"/>
  <c r="D44" i="3" s="1"/>
  <c r="F12" i="11" l="1"/>
  <c r="G12" i="11" l="1"/>
  <c r="M5" i="12" l="1"/>
  <c r="K5" i="12"/>
  <c r="K4" i="12"/>
  <c r="L4" i="12"/>
  <c r="M4" i="12"/>
  <c r="M7" i="12"/>
  <c r="J4" i="11"/>
  <c r="K7" i="12"/>
  <c r="H4" i="11"/>
  <c r="H6" i="11"/>
  <c r="H8" i="11"/>
  <c r="H12" i="11"/>
  <c r="D27" i="11"/>
  <c r="J6" i="11"/>
  <c r="N4" i="12"/>
  <c r="O4" i="12"/>
  <c r="P4" i="12"/>
  <c r="Q4" i="12"/>
  <c r="R4" i="12"/>
  <c r="R7" i="12"/>
  <c r="O4" i="11"/>
  <c r="O6" i="11"/>
  <c r="O8" i="11"/>
  <c r="O12" i="11"/>
  <c r="D19" i="11"/>
  <c r="D23" i="11"/>
  <c r="M10" i="12"/>
  <c r="M11" i="12"/>
  <c r="J7" i="11"/>
  <c r="J8" i="11"/>
  <c r="J12" i="11"/>
  <c r="Q10" i="12"/>
  <c r="Q11" i="12"/>
  <c r="N7" i="11"/>
  <c r="D28" i="11"/>
  <c r="K10" i="12"/>
  <c r="K11" i="12"/>
  <c r="H7" i="11"/>
  <c r="R10" i="12"/>
  <c r="R11" i="12"/>
  <c r="P10" i="12"/>
  <c r="P11" i="12"/>
  <c r="M7" i="11"/>
  <c r="L7" i="12"/>
  <c r="I4" i="11"/>
  <c r="I6" i="11"/>
  <c r="I8" i="11"/>
  <c r="Q7" i="12"/>
  <c r="N4" i="11"/>
  <c r="D29" i="11"/>
  <c r="O10" i="12"/>
  <c r="O11" i="12"/>
  <c r="L7" i="11"/>
  <c r="O7" i="11"/>
  <c r="O7" i="12"/>
  <c r="L4" i="11"/>
  <c r="L6" i="11"/>
  <c r="L8" i="11"/>
  <c r="P7" i="12"/>
  <c r="M4" i="11"/>
  <c r="M6" i="11"/>
  <c r="M8" i="11"/>
  <c r="L10" i="12"/>
  <c r="L11" i="12"/>
  <c r="I7" i="11"/>
  <c r="N7" i="12"/>
  <c r="K4" i="11"/>
  <c r="K6" i="11"/>
  <c r="K8" i="11"/>
  <c r="K12" i="11"/>
  <c r="M12" i="11"/>
  <c r="L12" i="11"/>
  <c r="N10" i="12"/>
  <c r="N11" i="12"/>
  <c r="K7" i="11"/>
  <c r="I12" i="11"/>
  <c r="D34" i="11"/>
  <c r="D37" i="11"/>
  <c r="F18" i="11"/>
  <c r="N6" i="11"/>
  <c r="N8" i="11"/>
  <c r="N5" i="12"/>
  <c r="N12" i="11"/>
  <c r="D40" i="11"/>
</calcChain>
</file>

<file path=xl/sharedStrings.xml><?xml version="1.0" encoding="utf-8"?>
<sst xmlns="http://schemas.openxmlformats.org/spreadsheetml/2006/main" count="492" uniqueCount="375">
  <si>
    <t>COMPANY NAME</t>
  </si>
  <si>
    <t>TITAN COMPANY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</si>
  <si>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</si>
  <si>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</si>
  <si>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</si>
  <si>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</si>
  <si>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</si>
  <si>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</si>
  <si>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</si>
  <si>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</si>
  <si>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</si>
  <si>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</si>
  <si>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</si>
  <si>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</si>
  <si>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</si>
  <si>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</si>
  <si>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</si>
  <si>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</si>
  <si>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</si>
  <si>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</si>
  <si>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</si>
  <si>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</si>
  <si>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</si>
  <si>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</si>
  <si>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</si>
  <si>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</si>
  <si>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</si>
  <si>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</si>
  <si>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</si>
  <si>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</si>
  <si>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</si>
  <si>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</si>
  <si>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</si>
  <si>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</si>
  <si>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</si>
  <si>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</si>
  <si>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</si>
  <si>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</si>
  <si>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</si>
  <si>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</si>
  <si>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</si>
  <si>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</si>
  <si>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</si>
  <si>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</si>
  <si>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</si>
  <si>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</si>
  <si>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</si>
  <si>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</si>
  <si>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</si>
  <si>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</si>
  <si>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</si>
  <si>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</si>
  <si>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</si>
  <si>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</si>
  <si>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</si>
  <si>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</si>
  <si>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</si>
  <si>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Income Statement</t>
  </si>
  <si>
    <t>#</t>
  </si>
  <si>
    <t>Sales Growth</t>
  </si>
  <si>
    <t>-</t>
  </si>
  <si>
    <t>COGS</t>
  </si>
  <si>
    <t>COGS % Sales</t>
  </si>
  <si>
    <t>Gross Profit</t>
  </si>
  <si>
    <t>Selling &amp; General Expenses</t>
  </si>
  <si>
    <t>S&amp;G Exp % Sales</t>
  </si>
  <si>
    <t>EBITDA Margins</t>
  </si>
  <si>
    <t>Interest % Sales</t>
  </si>
  <si>
    <t>Depreciation%Sales</t>
  </si>
  <si>
    <t>Gross Margins</t>
  </si>
  <si>
    <t>Earnings Before Tax</t>
  </si>
  <si>
    <t>EBT % Sales</t>
  </si>
  <si>
    <t>Net Profit</t>
  </si>
  <si>
    <t>Net Margins</t>
  </si>
  <si>
    <t>No of Equity Shares</t>
  </si>
  <si>
    <t>Dividend per Share</t>
  </si>
  <si>
    <t>Earnings per Share</t>
  </si>
  <si>
    <t>EPS Growth %</t>
  </si>
  <si>
    <t>Dividend payout ratio</t>
  </si>
  <si>
    <t>Retained Earnings</t>
  </si>
  <si>
    <t>Balance Sheet</t>
  </si>
  <si>
    <t>Total Liabilities</t>
  </si>
  <si>
    <t>Fixed Assets Net Block</t>
  </si>
  <si>
    <t>Total Non Current Assets</t>
  </si>
  <si>
    <t>Total Current Assets</t>
  </si>
  <si>
    <t>Total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</si>
  <si>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</si>
  <si>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</si>
  <si>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</si>
  <si>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</si>
  <si>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</si>
  <si>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</si>
  <si>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</si>
  <si>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</si>
  <si>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</si>
  <si>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</si>
  <si>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</si>
  <si>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</si>
  <si>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Invest in subsidiaries</t>
  </si>
  <si>
    <t>Investment in group cos</t>
  </si>
  <si>
    <t>Acquisition of companies</t>
  </si>
  <si>
    <t>Inter corporate deposits</t>
  </si>
  <si>
    <t>Other investing items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</si>
  <si>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</si>
  <si>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</si>
  <si>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</si>
  <si>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</si>
  <si>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</si>
  <si>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</si>
  <si>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Cash from Operating Activity -</t>
  </si>
  <si>
    <t>Cash from Investing Activity -</t>
  </si>
  <si>
    <t>Cash from Financing Activity -</t>
  </si>
  <si>
    <t>Cash Flow Statements</t>
  </si>
  <si>
    <t>Operating Activities</t>
  </si>
  <si>
    <t>Investing Activities</t>
  </si>
  <si>
    <t>Cash from Investing Activities</t>
  </si>
  <si>
    <t>Financing Activities</t>
  </si>
  <si>
    <t>Cash from Financing Activities</t>
  </si>
  <si>
    <t>Operating borrowings</t>
  </si>
  <si>
    <t>Free Cash Flow</t>
  </si>
  <si>
    <t>CFO/OP</t>
  </si>
  <si>
    <t xml:space="preserve">Cash from Operating Activities </t>
  </si>
  <si>
    <t xml:space="preserve">Nifty Returns </t>
  </si>
  <si>
    <t>Date</t>
  </si>
  <si>
    <t>Closing Price</t>
  </si>
  <si>
    <t>Return</t>
  </si>
  <si>
    <t xml:space="preserve">Titan Weekly Returns </t>
  </si>
  <si>
    <t>Regression Beta - 3 Years Weekly</t>
  </si>
  <si>
    <t>07/14/2024</t>
  </si>
  <si>
    <t>07/21/2024</t>
  </si>
  <si>
    <t>07/28/2024</t>
  </si>
  <si>
    <t>08/18/2024</t>
  </si>
  <si>
    <t>08/25/2024</t>
  </si>
  <si>
    <t>09/15/2024</t>
  </si>
  <si>
    <t>09/22/2024</t>
  </si>
  <si>
    <t>09/29/2024</t>
  </si>
  <si>
    <t>10/13/2024</t>
  </si>
  <si>
    <t>10/20/2024</t>
  </si>
  <si>
    <t>10/27/2024</t>
  </si>
  <si>
    <t>11/17/2024</t>
  </si>
  <si>
    <t>11/24/2024</t>
  </si>
  <si>
    <t>12/15/2024</t>
  </si>
  <si>
    <t>12/22/2024</t>
  </si>
  <si>
    <t>12/29/2024</t>
  </si>
  <si>
    <t>01/19/2025</t>
  </si>
  <si>
    <t>01/26/2025</t>
  </si>
  <si>
    <t>02/16/2025</t>
  </si>
  <si>
    <t>02/23/2025</t>
  </si>
  <si>
    <t>03/16/2025</t>
  </si>
  <si>
    <t>03/23/2025</t>
  </si>
  <si>
    <t>03/30/2025</t>
  </si>
  <si>
    <t>04/13/2025</t>
  </si>
  <si>
    <t>04/20/2025</t>
  </si>
  <si>
    <t>04/27/2025</t>
  </si>
  <si>
    <t>05/18/2025</t>
  </si>
  <si>
    <t>05/25/2025</t>
  </si>
  <si>
    <t>06/15/2025</t>
  </si>
  <si>
    <t>06/22/2025</t>
  </si>
  <si>
    <t>06/29/2025</t>
  </si>
  <si>
    <t>07/13/2025</t>
  </si>
  <si>
    <t>07/20/2025</t>
  </si>
  <si>
    <t>07/27/2025</t>
  </si>
  <si>
    <t>08/17/2025</t>
  </si>
  <si>
    <t>08/24/2025</t>
  </si>
  <si>
    <t>08/31/2025</t>
  </si>
  <si>
    <t>09/14/2025</t>
  </si>
  <si>
    <t>09/21/2025</t>
  </si>
  <si>
    <t>09/28/2025</t>
  </si>
  <si>
    <t>10/19/2025</t>
  </si>
  <si>
    <t>10/26/2025</t>
  </si>
  <si>
    <t>11/16/2025</t>
  </si>
  <si>
    <t>11/23/2025</t>
  </si>
  <si>
    <t>11/30/2025</t>
  </si>
  <si>
    <t>12/14/2025</t>
  </si>
  <si>
    <t>12/21/2025</t>
  </si>
  <si>
    <t>12/28/2025</t>
  </si>
  <si>
    <t>01/18/2026</t>
  </si>
  <si>
    <t>01/25/2026</t>
  </si>
  <si>
    <t>02/15/2026</t>
  </si>
  <si>
    <t>02/22/2026</t>
  </si>
  <si>
    <t>03/15/2026</t>
  </si>
  <si>
    <t>03/22/2026</t>
  </si>
  <si>
    <t>03/29/2026</t>
  </si>
  <si>
    <t>04/19/2026</t>
  </si>
  <si>
    <t>04/26/2026</t>
  </si>
  <si>
    <t>05/17/2026</t>
  </si>
  <si>
    <t>05/24/2026</t>
  </si>
  <si>
    <t>05/31/2026</t>
  </si>
  <si>
    <t>06/14/2026</t>
  </si>
  <si>
    <t>06/21/2026</t>
  </si>
  <si>
    <t>06/28/2026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</si>
  <si>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</si>
  <si>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</si>
  <si>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</si>
  <si>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</si>
  <si>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</si>
  <si>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</si>
  <si>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</si>
  <si>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</si>
  <si>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</si>
  <si>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</si>
  <si>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</si>
  <si>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</si>
  <si>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</si>
  <si>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</si>
  <si>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</si>
  <si>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</si>
  <si>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</si>
  <si>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</si>
  <si>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</si>
  <si>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</si>
  <si>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</si>
  <si>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</si>
  <si>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</si>
  <si>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Beta Reg2 </t>
  </si>
  <si>
    <t>Beta Reg1</t>
  </si>
  <si>
    <t xml:space="preserve">Drifted Beta </t>
  </si>
  <si>
    <t xml:space="preserve">Levered Raw Beta </t>
  </si>
  <si>
    <t xml:space="preserve">Raw Beta Weight </t>
  </si>
  <si>
    <t>Market Beta</t>
  </si>
  <si>
    <t xml:space="preserve">Market Beta Weight </t>
  </si>
  <si>
    <t xml:space="preserve">Adjusted Beta </t>
  </si>
  <si>
    <t xml:space="preserve">Using Top Down approach </t>
  </si>
  <si>
    <t>Peer Comps</t>
  </si>
  <si>
    <t>Debt/</t>
  </si>
  <si>
    <t>Levered</t>
  </si>
  <si>
    <t>Unlevered</t>
  </si>
  <si>
    <t>Name</t>
  </si>
  <si>
    <t>Country</t>
  </si>
  <si>
    <t>Total Debt</t>
  </si>
  <si>
    <t>Total Equity</t>
  </si>
  <si>
    <r>
      <t xml:space="preserve">Tax Rate </t>
    </r>
    <r>
      <rPr>
        <vertAlign val="superscript"/>
        <sz val="11"/>
        <color theme="1"/>
        <rFont val="Calibri"/>
        <family val="2"/>
      </rPr>
      <t>1</t>
    </r>
  </si>
  <si>
    <t>Equity</t>
  </si>
  <si>
    <t>Capital</t>
  </si>
  <si>
    <r>
      <t xml:space="preserve">Beta </t>
    </r>
    <r>
      <rPr>
        <vertAlign val="superscript"/>
        <sz val="11"/>
        <color theme="1"/>
        <rFont val="Calibri"/>
        <family val="2"/>
      </rPr>
      <t>2</t>
    </r>
  </si>
  <si>
    <r>
      <t xml:space="preserve">Beta </t>
    </r>
    <r>
      <rPr>
        <vertAlign val="superscript"/>
        <sz val="11"/>
        <color theme="1"/>
        <rFont val="Calibri"/>
        <family val="2"/>
      </rPr>
      <t>3</t>
    </r>
  </si>
  <si>
    <t>Titan Company</t>
  </si>
  <si>
    <t>Kalyan Jewellers</t>
  </si>
  <si>
    <t>Thangamayil Jew.</t>
  </si>
  <si>
    <t>PC Jeweller</t>
  </si>
  <si>
    <t>Sky Gold &amp; Diam.</t>
  </si>
  <si>
    <t>Bluestone Jewel</t>
  </si>
  <si>
    <t>P N Gadgil Jewe.</t>
  </si>
  <si>
    <t xml:space="preserve">India </t>
  </si>
  <si>
    <t xml:space="preserve">Average </t>
  </si>
  <si>
    <t xml:space="preserve">Median </t>
  </si>
  <si>
    <t xml:space="preserve">Cost of Equity </t>
  </si>
  <si>
    <t xml:space="preserve">Risk Free Rate </t>
  </si>
  <si>
    <t xml:space="preserve">Equity Risk Premium </t>
  </si>
  <si>
    <t xml:space="preserve">Cost of Debt </t>
  </si>
  <si>
    <t>Pre tax Cost of Debt</t>
  </si>
  <si>
    <t>Tax Rate</t>
  </si>
  <si>
    <t>After tax Cost of Debt</t>
  </si>
  <si>
    <t xml:space="preserve">Default Spread of Titan Company </t>
  </si>
  <si>
    <t xml:space="preserve">WACC </t>
  </si>
  <si>
    <t xml:space="preserve">Total Equity </t>
  </si>
  <si>
    <t>WACC</t>
  </si>
  <si>
    <t>Debt Weight</t>
  </si>
  <si>
    <t>Calculation of ROIC</t>
  </si>
  <si>
    <t>Current Assets</t>
  </si>
  <si>
    <t>Inventories</t>
  </si>
  <si>
    <t>Trade receivables</t>
  </si>
  <si>
    <t>Loans n Advances</t>
  </si>
  <si>
    <t>Other asset items</t>
  </si>
  <si>
    <t xml:space="preserve">Current Liabilities </t>
  </si>
  <si>
    <t>Trade Payables</t>
  </si>
  <si>
    <t>Advance from Customers</t>
  </si>
  <si>
    <t>Other liability items</t>
  </si>
  <si>
    <t xml:space="preserve">Total Current Liabilities </t>
  </si>
  <si>
    <t xml:space="preserve">Net Working Capital </t>
  </si>
  <si>
    <t xml:space="preserve">Non Current Assets 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</si>
  <si>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</si>
  <si>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</si>
  <si>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</si>
  <si>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</si>
  <si>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</si>
  <si>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</si>
  <si>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</si>
  <si>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</si>
  <si>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</si>
  <si>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 xml:space="preserve">Gross Block </t>
  </si>
  <si>
    <t xml:space="preserve">Accumulated Depriciation </t>
  </si>
  <si>
    <t xml:space="preserve">Net Fixed Income </t>
  </si>
  <si>
    <t xml:space="preserve">Invested Capital </t>
  </si>
  <si>
    <t xml:space="preserve">EBIT </t>
  </si>
  <si>
    <t xml:space="preserve">ROIC </t>
  </si>
  <si>
    <t>EBIT(1-T)</t>
  </si>
  <si>
    <t>Equity Capital</t>
  </si>
  <si>
    <r>
      <t>Borrowings </t>
    </r>
    <r>
      <rPr>
        <sz val="11"/>
        <color rgb="FF665EFD"/>
        <rFont val="Arial"/>
        <family val="2"/>
      </rPr>
      <t>-</t>
    </r>
  </si>
  <si>
    <t>Long term Borrowings</t>
  </si>
  <si>
    <t>Short term Borrowings</t>
  </si>
  <si>
    <t>Lease Liabilities</t>
  </si>
  <si>
    <t>Other Borrowings</t>
  </si>
  <si>
    <r>
      <t>Other Liabilities </t>
    </r>
    <r>
      <rPr>
        <sz val="11"/>
        <color rgb="FF665EFD"/>
        <rFont val="Arial"/>
        <family val="2"/>
      </rPr>
      <t>-</t>
    </r>
  </si>
  <si>
    <t>Non controlling int</t>
  </si>
  <si>
    <r>
      <t>Fixed Assets </t>
    </r>
    <r>
      <rPr>
        <sz val="11"/>
        <color rgb="FF665EFD"/>
        <rFont val="Arial"/>
        <family val="2"/>
      </rPr>
      <t>-</t>
    </r>
  </si>
  <si>
    <t>Computers</t>
  </si>
  <si>
    <t>Gross Block</t>
  </si>
  <si>
    <t>Accumulated Depreciation</t>
  </si>
  <si>
    <t>CWIP</t>
  </si>
  <si>
    <r>
      <t>Other Assets </t>
    </r>
    <r>
      <rPr>
        <sz val="11"/>
        <color rgb="FF665EFD"/>
        <rFont val="Arial"/>
        <family val="2"/>
      </rPr>
      <t>-</t>
    </r>
  </si>
  <si>
    <r>
      <t>Trade receivables </t>
    </r>
    <r>
      <rPr>
        <sz val="11"/>
        <color rgb="FF665EFD"/>
        <rFont val="Arial"/>
        <family val="2"/>
      </rPr>
      <t>+</t>
    </r>
  </si>
  <si>
    <t>Cash Equivalents</t>
  </si>
  <si>
    <t>Calculation of PV of FCFF</t>
  </si>
  <si>
    <t>EBIT (Operational Income )</t>
  </si>
  <si>
    <t xml:space="preserve">Tax Rate </t>
  </si>
  <si>
    <t>Free Cash Flow to Firm</t>
  </si>
  <si>
    <t xml:space="preserve">Mid Year Convention </t>
  </si>
  <si>
    <t xml:space="preserve">Discounting Factor </t>
  </si>
  <si>
    <t xml:space="preserve">PV of FCFF </t>
  </si>
  <si>
    <t xml:space="preserve">Terminal Growth </t>
  </si>
  <si>
    <t xml:space="preserve">Calculation of Terminal Value </t>
  </si>
  <si>
    <t xml:space="preserve">Sensitivity Analysis </t>
  </si>
  <si>
    <t>FCFF(n+1)</t>
  </si>
  <si>
    <t xml:space="preserve">Terminal Growth Rate </t>
  </si>
  <si>
    <t>Terminal Value of FCFF</t>
  </si>
  <si>
    <t xml:space="preserve">Calculation of Equity Value per Share </t>
  </si>
  <si>
    <t>PV of FCFF</t>
  </si>
  <si>
    <t>PV of Terminal Value</t>
  </si>
  <si>
    <t>Value of Operating Assets (Enterprise Value )</t>
  </si>
  <si>
    <t xml:space="preserve">Add: Cash </t>
  </si>
  <si>
    <t xml:space="preserve">Less: Debt </t>
  </si>
  <si>
    <t xml:space="preserve">Equity Value </t>
  </si>
  <si>
    <t xml:space="preserve">No of Shares </t>
  </si>
  <si>
    <t xml:space="preserve">Equity Value per Share </t>
  </si>
  <si>
    <t xml:space="preserve">Share Price </t>
  </si>
  <si>
    <t xml:space="preserve">Discounted/Premium </t>
  </si>
  <si>
    <t xml:space="preserve">Sales Growth </t>
  </si>
  <si>
    <t xml:space="preserve">Operating Income </t>
  </si>
  <si>
    <t xml:space="preserve">% sales </t>
  </si>
  <si>
    <t xml:space="preserve">Sales to Capital Ratio </t>
  </si>
  <si>
    <t xml:space="preserve">Sales </t>
  </si>
  <si>
    <t xml:space="preserve">Increase in Revenue </t>
  </si>
  <si>
    <t xml:space="preserve">Reinvestment </t>
  </si>
  <si>
    <t xml:space="preserve">Less: Reinvestment </t>
  </si>
  <si>
    <t xml:space="preserve">Because of it's heavy market share, we will admit that it will grow with higher rates for first 5 years and then they will nmove towards stabilization </t>
  </si>
  <si>
    <t xml:space="preserve">For stable margin they need to reach the industry average in each of the business and that would be aroundb 10% at the end </t>
  </si>
  <si>
    <t xml:space="preserve">We would distribute the time period as 3 stages, first the continuing growth phase, second is moderating and the third is going towards stability </t>
  </si>
  <si>
    <t>Calculation of Sales to Capital Ratio</t>
  </si>
  <si>
    <t xml:space="preserve">Premium </t>
  </si>
  <si>
    <t>RoiC not stable, can't use directly the ROC*Reinvestment rate</t>
  </si>
  <si>
    <t>Average (5 yrs)</t>
  </si>
  <si>
    <t xml:space="preserve">Calculation of Reinvestment Rate </t>
  </si>
  <si>
    <t xml:space="preserve">Change in Working Capital </t>
  </si>
  <si>
    <t>Net Capex</t>
  </si>
  <si>
    <t xml:space="preserve">Reinvestment Rate </t>
  </si>
  <si>
    <t>S.No.</t>
  </si>
  <si>
    <t>Debt / Eq</t>
  </si>
  <si>
    <t>P/E</t>
  </si>
  <si>
    <t>EV / EBITDA</t>
  </si>
  <si>
    <t xml:space="preserve">Market Data </t>
  </si>
  <si>
    <t xml:space="preserve">Financials </t>
  </si>
  <si>
    <t>Valuation</t>
  </si>
  <si>
    <t xml:space="preserve">Share </t>
  </si>
  <si>
    <t xml:space="preserve">Equity </t>
  </si>
  <si>
    <t xml:space="preserve">Enterprise </t>
  </si>
  <si>
    <t xml:space="preserve">Company </t>
  </si>
  <si>
    <t xml:space="preserve">Price </t>
  </si>
  <si>
    <t xml:space="preserve">Outstanding </t>
  </si>
  <si>
    <t xml:space="preserve">Value </t>
  </si>
  <si>
    <t xml:space="preserve">Net Debt </t>
  </si>
  <si>
    <t xml:space="preserve">Revenue </t>
  </si>
  <si>
    <t xml:space="preserve">Net Income </t>
  </si>
  <si>
    <t>EV/Revenue</t>
  </si>
  <si>
    <t>EV/EBITDA</t>
  </si>
  <si>
    <t>CMP Rs.</t>
  </si>
  <si>
    <t>Mar Cap Rs.Cr.</t>
  </si>
  <si>
    <t>B.V. Rs.</t>
  </si>
  <si>
    <t>Debt Rs.Cr.</t>
  </si>
  <si>
    <t>EPS 12M Rs.</t>
  </si>
  <si>
    <t>EV Rs.Cr.</t>
  </si>
  <si>
    <t>No. Eq. Shares Cr.</t>
  </si>
  <si>
    <t xml:space="preserve">Cash </t>
  </si>
  <si>
    <t xml:space="preserve">Market D/E </t>
  </si>
  <si>
    <t xml:space="preserve">BV of Equity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</si>
</sst>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[$-409]mmm\-yy;@"/>
    <numFmt numFmtId="165" formatCode="_(* #,##0.00_);_(* \(#,##0.00\);_(* &quot;-&quot;??_);_(@_)"/>
    <numFmt numFmtId="166" formatCode="&quot;₹&quot;\ #,##0.0;\(&quot;₹&quot;\ #,##0.0\);\-"/>
    <numFmt numFmtId="167" formatCode="&quot;₹&quot;\ #,##0.00"/>
    <numFmt numFmtId="168" formatCode="0.000"/>
    <numFmt numFmtId="169" formatCode="&quot;₹&quot;\ #,##0.0;&quot;₹&quot;\ \-#,##0.0"/>
    <numFmt numFmtId="170" formatCode="\ #,##0.0;\(&quot;₹&quot;\ #,##0.0\);\-"/>
    <numFmt numFmtId="171" formatCode="mmm/yy&quot;A&quot;"/>
    <numFmt numFmtId="172" formatCode="mmm/yy&quot;F&quot;"/>
    <numFmt numFmtId="173" formatCode="#,##0.0"/>
    <numFmt numFmtId="174" formatCode="0.00&quot;x&quot;"/>
    <numFmt numFmtId="175" formatCode="mmm/yy&quot;E&quot;"/>
    <numFmt numFmtId="176" formatCode="&quot;₹&quot;\ #,##0.0"/>
  </numFmts>
  <fonts count="24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i/>
      <sz val="11"/>
      <color theme="1"/>
      <name val="calibri"/>
      <family val="2"/>
    </font>
    <font>
      <i/>
      <sz val="11"/>
      <color theme="0" tint="-0.499984740745262"/>
      <name val="calibri"/>
      <family val="2"/>
    </font>
    <font>
      <sz val="11"/>
      <color theme="0"/>
      <name val="Calibri"/>
      <family val="2"/>
    </font>
    <font>
      <vertAlign val="superscript"/>
      <sz val="11"/>
      <color theme="1"/>
      <name val="Calibri"/>
      <family val="2"/>
    </font>
    <font>
      <sz val="11"/>
      <color rgb="FF22222F"/>
      <name val="Arial"/>
      <family val="2"/>
    </font>
    <font>
      <sz val="11"/>
      <color rgb="FF0070C0"/>
      <name val="Calibri"/>
      <family val="2"/>
    </font>
    <font>
      <sz val="11"/>
      <color rgb="FF22222F"/>
      <name val="Arial"/>
      <family val="2"/>
    </font>
    <font>
      <sz val="11"/>
      <color rgb="FF665EFD"/>
      <name val="Arial"/>
      <family val="2"/>
    </font>
    <font>
      <b/>
      <sz val="11"/>
      <color theme="0"/>
      <name val="Arial"/>
      <family val="2"/>
    </font>
    <font>
      <sz val="11"/>
      <color rgb="FF3333CC"/>
      <name val="Calibri"/>
      <family val="2"/>
    </font>
    <font>
      <sz val="11"/>
      <color rgb="FF00B0F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8" tint="-0.499984740745262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/>
      <bottom style="medium">
        <color rgb="FFDBE4F0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/>
      <right/>
      <top style="medium">
        <color rgb="FFDBE4F0"/>
      </top>
      <bottom/>
      <diagonal/>
    </border>
    <border>
      <left/>
      <right/>
      <top style="medium">
        <color rgb="FF002060"/>
      </top>
      <bottom style="thick">
        <color rgb="FF002060"/>
      </bottom>
      <diagonal/>
    </border>
    <border>
      <left/>
      <right/>
      <top style="thin">
        <color auto="1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9" fillId="2" borderId="0" applyNumberFormat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12" fillId="0" borderId="0"/>
  </cellStyleXfs>
  <cellXfs count="121">
    <xf numFmtId="0" fontId="0" fillId="0" borderId="0" xfId="0"/>
    <xf numFmtId="43" fontId="6" fillId="0" borderId="0" xfId="2" applyFont="1" applyBorder="1"/>
    <xf numFmtId="43" fontId="8" fillId="0" borderId="0" xfId="2" applyFont="1" applyBorder="1"/>
    <xf numFmtId="0" fontId="8" fillId="0" borderId="0" xfId="5" applyFont="1"/>
    <xf numFmtId="164" fontId="10" fillId="3" borderId="0" xfId="2" applyNumberFormat="1" applyFont="1" applyFill="1" applyBorder="1"/>
    <xf numFmtId="164" fontId="10" fillId="3" borderId="0" xfId="5" applyNumberFormat="1" applyFont="1" applyFill="1" applyAlignment="1">
      <alignment horizontal="center"/>
    </xf>
    <xf numFmtId="164" fontId="11" fillId="0" borderId="0" xfId="2" applyNumberFormat="1" applyFont="1" applyFill="1" applyBorder="1"/>
    <xf numFmtId="0" fontId="5" fillId="0" borderId="0" xfId="5"/>
    <xf numFmtId="9" fontId="8" fillId="0" borderId="0" xfId="6" applyFont="1" applyBorder="1"/>
    <xf numFmtId="0" fontId="12" fillId="0" borderId="0" xfId="7"/>
    <xf numFmtId="165" fontId="8" fillId="0" borderId="0" xfId="2" applyNumberFormat="1" applyFont="1" applyBorder="1"/>
    <xf numFmtId="17" fontId="0" fillId="0" borderId="0" xfId="0" applyNumberFormat="1"/>
    <xf numFmtId="0" fontId="2" fillId="4" borderId="0" xfId="0" applyFont="1" applyFill="1"/>
    <xf numFmtId="17" fontId="2" fillId="4" borderId="0" xfId="0" applyNumberFormat="1" applyFont="1" applyFill="1"/>
    <xf numFmtId="0" fontId="3" fillId="0" borderId="0" xfId="0" applyFont="1"/>
    <xf numFmtId="166" fontId="0" fillId="0" borderId="0" xfId="0" applyNumberFormat="1"/>
    <xf numFmtId="10" fontId="0" fillId="0" borderId="0" xfId="1" applyNumberFormat="1" applyFont="1"/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right"/>
    </xf>
    <xf numFmtId="10" fontId="14" fillId="0" borderId="0" xfId="1" applyNumberFormat="1" applyFont="1"/>
    <xf numFmtId="167" fontId="0" fillId="0" borderId="0" xfId="0" applyNumberFormat="1"/>
    <xf numFmtId="0" fontId="2" fillId="0" borderId="0" xfId="0" applyFont="1"/>
    <xf numFmtId="17" fontId="2" fillId="0" borderId="0" xfId="0" applyNumberFormat="1" applyFont="1"/>
    <xf numFmtId="0" fontId="3" fillId="5" borderId="0" xfId="0" applyFont="1" applyFill="1"/>
    <xf numFmtId="0" fontId="0" fillId="5" borderId="0" xfId="0" applyFill="1"/>
    <xf numFmtId="166" fontId="3" fillId="0" borderId="0" xfId="0" applyNumberFormat="1" applyFont="1"/>
    <xf numFmtId="3" fontId="0" fillId="0" borderId="0" xfId="0" applyNumberFormat="1"/>
    <xf numFmtId="9" fontId="0" fillId="0" borderId="0" xfId="0" applyNumberFormat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4" fontId="0" fillId="0" borderId="0" xfId="0" applyNumberFormat="1"/>
    <xf numFmtId="14" fontId="0" fillId="0" borderId="0" xfId="0" applyNumberFormat="1"/>
    <xf numFmtId="0" fontId="0" fillId="0" borderId="3" xfId="0" applyBorder="1"/>
    <xf numFmtId="0" fontId="13" fillId="0" borderId="5" xfId="0" applyFont="1" applyBorder="1" applyAlignment="1">
      <alignment horizontal="center"/>
    </xf>
    <xf numFmtId="0" fontId="13" fillId="0" borderId="5" xfId="0" applyFont="1" applyBorder="1" applyAlignment="1">
      <alignment horizontal="centerContinuous"/>
    </xf>
    <xf numFmtId="168" fontId="0" fillId="0" borderId="0" xfId="0" applyNumberFormat="1"/>
    <xf numFmtId="2" fontId="0" fillId="0" borderId="0" xfId="0" applyNumberFormat="1"/>
    <xf numFmtId="10" fontId="0" fillId="0" borderId="0" xfId="0" applyNumberFormat="1"/>
    <xf numFmtId="0" fontId="0" fillId="7" borderId="0" xfId="0" applyFill="1"/>
    <xf numFmtId="2" fontId="0" fillId="7" borderId="0" xfId="0" applyNumberFormat="1" applyFill="1"/>
    <xf numFmtId="0" fontId="0" fillId="0" borderId="6" xfId="0" applyBorder="1"/>
    <xf numFmtId="0" fontId="0" fillId="0" borderId="6" xfId="0" applyBorder="1" applyAlignment="1">
      <alignment horizontal="right"/>
    </xf>
    <xf numFmtId="0" fontId="0" fillId="0" borderId="7" xfId="0" applyBorder="1" applyAlignment="1">
      <alignment vertical="top"/>
    </xf>
    <xf numFmtId="0" fontId="0" fillId="0" borderId="7" xfId="0" applyBorder="1" applyAlignment="1">
      <alignment horizontal="right" vertical="top"/>
    </xf>
    <xf numFmtId="0" fontId="17" fillId="8" borderId="0" xfId="0" applyFont="1" applyFill="1" applyAlignment="1">
      <alignment horizontal="left" vertical="center" indent="2"/>
    </xf>
    <xf numFmtId="0" fontId="17" fillId="8" borderId="0" xfId="0" applyFont="1" applyFill="1" applyAlignment="1">
      <alignment horizontal="right" vertical="center" wrapText="1"/>
    </xf>
    <xf numFmtId="0" fontId="17" fillId="9" borderId="0" xfId="0" applyFont="1" applyFill="1" applyAlignment="1">
      <alignment horizontal="left" vertical="center" indent="2"/>
    </xf>
    <xf numFmtId="0" fontId="17" fillId="9" borderId="0" xfId="0" applyFont="1" applyFill="1" applyAlignment="1">
      <alignment horizontal="right" vertical="center" wrapText="1"/>
    </xf>
    <xf numFmtId="169" fontId="18" fillId="0" borderId="0" xfId="0" applyNumberFormat="1" applyFont="1"/>
    <xf numFmtId="9" fontId="18" fillId="0" borderId="0" xfId="0" applyNumberFormat="1" applyFont="1"/>
    <xf numFmtId="0" fontId="18" fillId="0" borderId="0" xfId="0" applyFont="1"/>
    <xf numFmtId="0" fontId="0" fillId="0" borderId="2" xfId="0" applyBorder="1"/>
    <xf numFmtId="168" fontId="0" fillId="0" borderId="2" xfId="0" applyNumberFormat="1" applyBorder="1"/>
    <xf numFmtId="168" fontId="0" fillId="0" borderId="3" xfId="0" applyNumberFormat="1" applyBorder="1"/>
    <xf numFmtId="10" fontId="6" fillId="0" borderId="0" xfId="1" applyNumberFormat="1" applyFont="1"/>
    <xf numFmtId="10" fontId="3" fillId="0" borderId="0" xfId="0" applyNumberFormat="1" applyFont="1"/>
    <xf numFmtId="0" fontId="3" fillId="0" borderId="9" xfId="0" applyFont="1" applyBorder="1"/>
    <xf numFmtId="10" fontId="3" fillId="0" borderId="9" xfId="1" applyNumberFormat="1" applyFont="1" applyBorder="1"/>
    <xf numFmtId="0" fontId="15" fillId="6" borderId="0" xfId="0" applyFont="1" applyFill="1"/>
    <xf numFmtId="17" fontId="15" fillId="6" borderId="0" xfId="0" applyNumberFormat="1" applyFont="1" applyFill="1"/>
    <xf numFmtId="170" fontId="0" fillId="0" borderId="0" xfId="0" applyNumberFormat="1"/>
    <xf numFmtId="0" fontId="3" fillId="0" borderId="4" xfId="0" applyFont="1" applyBorder="1"/>
    <xf numFmtId="170" fontId="3" fillId="0" borderId="4" xfId="0" applyNumberFormat="1" applyFont="1" applyBorder="1"/>
    <xf numFmtId="0" fontId="3" fillId="0" borderId="10" xfId="0" applyFont="1" applyBorder="1"/>
    <xf numFmtId="170" fontId="3" fillId="0" borderId="10" xfId="0" applyNumberFormat="1" applyFont="1" applyBorder="1"/>
    <xf numFmtId="170" fontId="3" fillId="0" borderId="0" xfId="0" applyNumberFormat="1" applyFont="1"/>
    <xf numFmtId="10" fontId="3" fillId="0" borderId="10" xfId="1" applyNumberFormat="1" applyFont="1" applyBorder="1"/>
    <xf numFmtId="3" fontId="17" fillId="8" borderId="0" xfId="0" applyNumberFormat="1" applyFont="1" applyFill="1" applyAlignment="1">
      <alignment horizontal="right" vertical="center" wrapText="1"/>
    </xf>
    <xf numFmtId="0" fontId="19" fillId="9" borderId="11" xfId="0" applyFont="1" applyFill="1" applyBorder="1" applyAlignment="1">
      <alignment horizontal="left" vertical="center" indent="2"/>
    </xf>
    <xf numFmtId="0" fontId="19" fillId="9" borderId="11" xfId="0" applyFont="1" applyFill="1" applyBorder="1" applyAlignment="1">
      <alignment horizontal="right" vertical="center" wrapText="1"/>
    </xf>
    <xf numFmtId="3" fontId="19" fillId="9" borderId="11" xfId="0" applyNumberFormat="1" applyFont="1" applyFill="1" applyBorder="1" applyAlignment="1">
      <alignment horizontal="right" vertical="center" wrapText="1"/>
    </xf>
    <xf numFmtId="0" fontId="17" fillId="9" borderId="0" xfId="0" applyFont="1" applyFill="1" applyAlignment="1">
      <alignment horizontal="left" vertical="center"/>
    </xf>
    <xf numFmtId="3" fontId="17" fillId="9" borderId="0" xfId="0" applyNumberFormat="1" applyFont="1" applyFill="1" applyAlignment="1">
      <alignment horizontal="right" vertical="center" wrapText="1"/>
    </xf>
    <xf numFmtId="0" fontId="19" fillId="8" borderId="11" xfId="0" applyFont="1" applyFill="1" applyBorder="1" applyAlignment="1">
      <alignment horizontal="left" vertical="center" indent="2"/>
    </xf>
    <xf numFmtId="3" fontId="19" fillId="8" borderId="11" xfId="0" applyNumberFormat="1" applyFont="1" applyFill="1" applyBorder="1" applyAlignment="1">
      <alignment horizontal="right" vertical="center" wrapText="1"/>
    </xf>
    <xf numFmtId="0" fontId="17" fillId="8" borderId="0" xfId="0" applyFont="1" applyFill="1" applyAlignment="1">
      <alignment horizontal="left" vertical="center"/>
    </xf>
    <xf numFmtId="0" fontId="19" fillId="8" borderId="11" xfId="0" applyFont="1" applyFill="1" applyBorder="1" applyAlignment="1">
      <alignment horizontal="right" vertical="center" wrapText="1"/>
    </xf>
    <xf numFmtId="0" fontId="19" fillId="8" borderId="11" xfId="0" applyFont="1" applyFill="1" applyBorder="1" applyAlignment="1">
      <alignment horizontal="left" vertical="center"/>
    </xf>
    <xf numFmtId="0" fontId="2" fillId="6" borderId="0" xfId="0" applyFont="1" applyFill="1"/>
    <xf numFmtId="17" fontId="21" fillId="6" borderId="8" xfId="0" applyNumberFormat="1" applyFont="1" applyFill="1" applyBorder="1" applyAlignment="1">
      <alignment horizontal="right" vertical="center" wrapText="1"/>
    </xf>
    <xf numFmtId="171" fontId="2" fillId="6" borderId="0" xfId="0" applyNumberFormat="1" applyFont="1" applyFill="1"/>
    <xf numFmtId="172" fontId="2" fillId="6" borderId="0" xfId="0" applyNumberFormat="1" applyFont="1" applyFill="1"/>
    <xf numFmtId="0" fontId="2" fillId="10" borderId="0" xfId="0" applyFont="1" applyFill="1"/>
    <xf numFmtId="171" fontId="2" fillId="10" borderId="0" xfId="0" applyNumberFormat="1" applyFont="1" applyFill="1"/>
    <xf numFmtId="172" fontId="2" fillId="10" borderId="0" xfId="0" applyNumberFormat="1" applyFont="1" applyFill="1"/>
    <xf numFmtId="170" fontId="0" fillId="11" borderId="0" xfId="0" applyNumberFormat="1" applyFill="1"/>
    <xf numFmtId="10" fontId="22" fillId="11" borderId="0" xfId="0" applyNumberFormat="1" applyFont="1" applyFill="1"/>
    <xf numFmtId="170" fontId="0" fillId="10" borderId="0" xfId="0" applyNumberFormat="1" applyFill="1"/>
    <xf numFmtId="0" fontId="0" fillId="11" borderId="0" xfId="0" applyFill="1"/>
    <xf numFmtId="0" fontId="22" fillId="0" borderId="0" xfId="0" applyFont="1"/>
    <xf numFmtId="0" fontId="3" fillId="0" borderId="12" xfId="0" applyFont="1" applyBorder="1"/>
    <xf numFmtId="0" fontId="3" fillId="11" borderId="12" xfId="0" applyFont="1" applyFill="1" applyBorder="1"/>
    <xf numFmtId="173" fontId="3" fillId="0" borderId="12" xfId="0" applyNumberFormat="1" applyFont="1" applyBorder="1"/>
    <xf numFmtId="10" fontId="0" fillId="7" borderId="0" xfId="0" applyNumberFormat="1" applyFill="1"/>
    <xf numFmtId="10" fontId="22" fillId="7" borderId="0" xfId="0" applyNumberFormat="1" applyFont="1" applyFill="1"/>
    <xf numFmtId="9" fontId="15" fillId="0" borderId="0" xfId="0" applyNumberFormat="1" applyFont="1"/>
    <xf numFmtId="170" fontId="3" fillId="10" borderId="12" xfId="0" applyNumberFormat="1" applyFont="1" applyFill="1" applyBorder="1"/>
    <xf numFmtId="173" fontId="0" fillId="0" borderId="0" xfId="0" applyNumberFormat="1"/>
    <xf numFmtId="173" fontId="3" fillId="0" borderId="0" xfId="0" applyNumberFormat="1" applyFont="1"/>
    <xf numFmtId="43" fontId="0" fillId="0" borderId="0" xfId="0" applyNumberFormat="1"/>
    <xf numFmtId="2" fontId="3" fillId="0" borderId="12" xfId="0" applyNumberFormat="1" applyFont="1" applyBorder="1"/>
    <xf numFmtId="174" fontId="0" fillId="0" borderId="0" xfId="0" applyNumberFormat="1"/>
    <xf numFmtId="10" fontId="13" fillId="0" borderId="0" xfId="1" applyNumberFormat="1" applyFont="1"/>
    <xf numFmtId="10" fontId="23" fillId="0" borderId="0" xfId="0" applyNumberFormat="1" applyFont="1"/>
    <xf numFmtId="176" fontId="0" fillId="0" borderId="0" xfId="0" applyNumberFormat="1"/>
    <xf numFmtId="10" fontId="18" fillId="0" borderId="0" xfId="0" applyNumberFormat="1" applyFont="1"/>
    <xf numFmtId="2" fontId="3" fillId="0" borderId="0" xfId="0" applyNumberFormat="1" applyFont="1"/>
    <xf numFmtId="176" fontId="0" fillId="11" borderId="0" xfId="0" applyNumberFormat="1" applyFill="1"/>
    <xf numFmtId="0" fontId="13" fillId="0" borderId="0" xfId="0" applyFont="1" applyAlignment="1">
      <alignment wrapText="1"/>
    </xf>
    <xf numFmtId="175" fontId="2" fillId="6" borderId="0" xfId="0" applyNumberFormat="1" applyFont="1" applyFill="1"/>
    <xf numFmtId="0" fontId="3" fillId="0" borderId="13" xfId="0" applyFont="1" applyBorder="1"/>
    <xf numFmtId="0" fontId="3" fillId="0" borderId="3" xfId="0" applyFont="1" applyBorder="1"/>
    <xf numFmtId="176" fontId="0" fillId="0" borderId="13" xfId="0" applyNumberFormat="1" applyBorder="1"/>
    <xf numFmtId="167" fontId="0" fillId="0" borderId="3" xfId="0" applyNumberFormat="1" applyBorder="1"/>
    <xf numFmtId="2" fontId="3" fillId="0" borderId="9" xfId="0" applyNumberFormat="1" applyFont="1" applyBorder="1"/>
    <xf numFmtId="10" fontId="3" fillId="0" borderId="0" xfId="1" applyNumberFormat="1" applyFont="1"/>
    <xf numFmtId="0" fontId="2" fillId="4" borderId="0" xfId="0" applyFont="1" applyFill="1" applyAlignment="1">
      <alignment horizontal="center"/>
    </xf>
    <xf numFmtId="43" fontId="7" fillId="0" borderId="0" xfId="3" applyNumberFormat="1" applyFont="1" applyBorder="1" applyAlignment="1" applyProtection="1">
      <alignment horizontal="center"/>
    </xf>
    <xf numFmtId="43" fontId="10" fillId="2" borderId="0" xfId="4" applyNumberFormat="1" applyFont="1" applyBorder="1" applyAlignment="1">
      <alignment horizontal="center"/>
    </xf>
    <xf numFmtId="0" fontId="2" fillId="6" borderId="0" xfId="0" applyFont="1" applyFill="1" applyAlignment="1">
      <alignment horizontal="center"/>
    </xf>
  </cellXfs>
  <cellStyles count="8">
    <cellStyle name="Accent6 2" xfId="4" xr:uid="{BBDB2BF0-232B-4C01-AC19-E13AE7790424}"/>
    <cellStyle name="Comma 2" xfId="2" xr:uid="{177753BF-8FC0-47C2-A09D-659D00B32ED6}"/>
    <cellStyle name="Hyperlink 2" xfId="3" xr:uid="{7C8B96FE-EF46-46CA-837F-CBE11AA9368D}"/>
    <cellStyle name="Normal" xfId="0" builtinId="0"/>
    <cellStyle name="Normal 2" xfId="7" xr:uid="{2080FAEF-89A5-4CB3-B948-0E63B4C07C78}"/>
    <cellStyle name="Normal 3" xfId="5" xr:uid="{D9D406C4-520E-4DB0-A06B-D346019C8727}"/>
    <cellStyle name="Percent" xfId="1" builtinId="5"/>
    <cellStyle name="Percent 3" xfId="6" xr:uid="{7B1B12B2-B1C6-4898-946F-9C0F047CCCB8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65A6F-FAE9-493F-95C8-EA88CC872622}">
  <sheetPr>
    <tabColor theme="8" tint="-0.499984740745262"/>
  </sheetPr>
  <dimension ref="A1"/>
  <sheetViews>
    <sheetView workbookViewId="0">
      <selection activeCell="F22" sqref="F22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E12-E142-48AD-908C-A9ADB1403414}">
  <dimension ref="A2:L102"/>
  <sheetViews>
    <sheetView showGridLines="0" zoomScale="73" workbookViewId="0">
      <pane ySplit="3" topLeftCell="A73" activePane="bottomLeft" state="frozen"/>
      <selection pane="bottomLeft" activeCell="L21" sqref="L21"/>
    </sheetView>
  </sheetViews>
  <sheetFormatPr defaultRowHeight="14.4" x14ac:dyDescent="0.3"/>
  <cols>
    <col min="1" max="1" width="1.88671875" customWidth="1"/>
    <col min="2" max="2" width="28.44140625" bestFit="1" customWidth="1"/>
    <col min="3" max="12" width="13" customWidth="1"/>
  </cols>
  <sheetData>
    <row r="2" spans="1:12" x14ac:dyDescent="0.3">
      <c r="B2" s="117" t="str">
        <f>"Historical Financial Statement - "&amp;'Data Sheet'!B1</f>
        <v>Historical Financial Statement - TITAN COMPANY LTD</v>
      </c>
      <c r="C2" s="117"/>
      <c r="D2" s="117"/>
      <c r="E2" s="117"/>
      <c r="F2" s="117"/>
      <c r="G2" s="117"/>
      <c r="H2" s="117"/>
      <c r="I2" s="117"/>
      <c r="J2" s="117"/>
      <c r="K2" s="117"/>
      <c r="L2" s="117"/>
    </row>
    <row r="3" spans="1:12" x14ac:dyDescent="0.3">
      <c r="B3" s="12" t="s">
        <v>56</v>
      </c>
      <c r="C3" s="13">
        <f>'Data Sheet'!B16</f>
        <v>42825</v>
      </c>
      <c r="D3" s="13">
        <f>'Data Sheet'!C16</f>
        <v>43190</v>
      </c>
      <c r="E3" s="13">
        <f>'Data Sheet'!D16</f>
        <v>43555</v>
      </c>
      <c r="F3" s="13">
        <f>'Data Sheet'!E16</f>
        <v>43921</v>
      </c>
      <c r="G3" s="13">
        <f>'Data Sheet'!F16</f>
        <v>44286</v>
      </c>
      <c r="H3" s="13">
        <f>'Data Sheet'!G16</f>
        <v>44651</v>
      </c>
      <c r="I3" s="13">
        <f>'Data Sheet'!H16</f>
        <v>45016</v>
      </c>
      <c r="J3" s="13">
        <f>'Data Sheet'!I16</f>
        <v>45382</v>
      </c>
      <c r="K3" s="13">
        <f>'Data Sheet'!J16</f>
        <v>45747</v>
      </c>
      <c r="L3" s="13">
        <f>'Data Sheet'!K16</f>
        <v>46112</v>
      </c>
    </row>
    <row r="4" spans="1:12" x14ac:dyDescent="0.3">
      <c r="B4" s="22"/>
      <c r="C4" s="23"/>
      <c r="D4" s="23"/>
      <c r="E4" s="23"/>
      <c r="F4" s="23"/>
      <c r="G4" s="23"/>
      <c r="H4" s="23"/>
      <c r="I4" s="23"/>
      <c r="J4" s="23"/>
      <c r="K4" s="23"/>
      <c r="L4" s="23"/>
    </row>
    <row r="5" spans="1:12" x14ac:dyDescent="0.3">
      <c r="A5" t="s">
        <v>58</v>
      </c>
      <c r="B5" s="24" t="s">
        <v>57</v>
      </c>
      <c r="C5" s="25"/>
      <c r="D5" s="25"/>
      <c r="E5" s="25"/>
      <c r="F5" s="25"/>
      <c r="G5" s="25"/>
      <c r="H5" s="25"/>
      <c r="I5" s="25"/>
      <c r="J5" s="25"/>
      <c r="K5" s="25"/>
      <c r="L5" s="25"/>
    </row>
    <row r="6" spans="1:12" x14ac:dyDescent="0.3">
      <c r="B6" t="s">
        <v>12</v>
      </c>
      <c r="C6" s="15">
        <f>IFERROR('Data Sheet'!B17,0)</f>
        <v>13260.83</v>
      </c>
      <c r="D6" s="15">
        <f>IFERROR('Data Sheet'!C17,0)</f>
        <v>16119.77</v>
      </c>
      <c r="E6" s="15">
        <f>IFERROR('Data Sheet'!D17,0)</f>
        <v>19778.52</v>
      </c>
      <c r="F6" s="15">
        <f>IFERROR('Data Sheet'!E17,0)</f>
        <v>21052</v>
      </c>
      <c r="G6" s="15">
        <f>IFERROR('Data Sheet'!F17,0)</f>
        <v>21644</v>
      </c>
      <c r="H6" s="15">
        <f>IFERROR('Data Sheet'!G17,0)</f>
        <v>28799</v>
      </c>
      <c r="I6" s="15">
        <f>IFERROR('Data Sheet'!H17,0)</f>
        <v>40575</v>
      </c>
      <c r="J6" s="15">
        <f>IFERROR('Data Sheet'!I17,0)</f>
        <v>51084</v>
      </c>
      <c r="K6" s="15">
        <f>IFERROR('Data Sheet'!J17,0)</f>
        <v>60456</v>
      </c>
      <c r="L6" s="15">
        <f>IFERROR('Data Sheet'!K17,0)</f>
        <v>87584</v>
      </c>
    </row>
    <row r="7" spans="1:12" x14ac:dyDescent="0.3">
      <c r="B7" s="18" t="s">
        <v>59</v>
      </c>
      <c r="C7" s="19" t="s">
        <v>60</v>
      </c>
      <c r="D7" s="20">
        <f>D6/C6-1</f>
        <v>0.21559283996552248</v>
      </c>
      <c r="E7" s="20">
        <f t="shared" ref="E7:L7" si="0">E6/D6-1</f>
        <v>0.22697284142391605</v>
      </c>
      <c r="F7" s="20">
        <f t="shared" si="0"/>
        <v>6.4387021880302431E-2</v>
      </c>
      <c r="G7" s="20">
        <f t="shared" si="0"/>
        <v>2.8120843625308867E-2</v>
      </c>
      <c r="H7" s="20">
        <f t="shared" si="0"/>
        <v>0.33057660321567184</v>
      </c>
      <c r="I7" s="20">
        <f t="shared" si="0"/>
        <v>0.40890308691274013</v>
      </c>
      <c r="J7" s="20">
        <f t="shared" si="0"/>
        <v>0.25900184842883545</v>
      </c>
      <c r="K7" s="20">
        <f t="shared" si="0"/>
        <v>0.18346253229974163</v>
      </c>
      <c r="L7" s="20">
        <f t="shared" si="0"/>
        <v>0.448723038242689</v>
      </c>
    </row>
    <row r="9" spans="1:12" x14ac:dyDescent="0.3">
      <c r="B9" t="s">
        <v>61</v>
      </c>
      <c r="C9" s="15">
        <f>IFERROR(SUM('Data Sheet'!B18,'Data Sheet'!B20:B22)-'Data Sheet'!B19,0)</f>
        <v>10606.01</v>
      </c>
      <c r="D9" s="15">
        <f>IFERROR(SUM('Data Sheet'!C18,'Data Sheet'!C20:C22)-'Data Sheet'!C19,0)</f>
        <v>12762.63</v>
      </c>
      <c r="E9" s="15">
        <f>IFERROR(SUM('Data Sheet'!D18,'Data Sheet'!D20:D22)-'Data Sheet'!D19,0)</f>
        <v>15660.48</v>
      </c>
      <c r="F9" s="15">
        <f>IFERROR(SUM('Data Sheet'!E18,'Data Sheet'!E20:E22)-'Data Sheet'!E19,0)</f>
        <v>16626</v>
      </c>
      <c r="G9" s="15">
        <f>IFERROR(SUM('Data Sheet'!F18,'Data Sheet'!F20:F22)-'Data Sheet'!F19,0)</f>
        <v>17661</v>
      </c>
      <c r="H9" s="15">
        <f>IFERROR(SUM('Data Sheet'!G18,'Data Sheet'!G20:G22)-'Data Sheet'!G19,0)</f>
        <v>23225</v>
      </c>
      <c r="I9" s="15">
        <f>IFERROR(SUM('Data Sheet'!H18,'Data Sheet'!H20:H22)-'Data Sheet'!H19,0)</f>
        <v>32295</v>
      </c>
      <c r="J9" s="15">
        <f>IFERROR(SUM('Data Sheet'!I18,'Data Sheet'!I20:I22)-'Data Sheet'!I19,0)</f>
        <v>41664</v>
      </c>
      <c r="K9" s="15">
        <f>IFERROR(SUM('Data Sheet'!J18,'Data Sheet'!J20:J22)-'Data Sheet'!J19,0)</f>
        <v>50024</v>
      </c>
      <c r="L9" s="15">
        <f>IFERROR(SUM('Data Sheet'!K18,'Data Sheet'!K20:K22)-'Data Sheet'!K19,0)</f>
        <v>73461</v>
      </c>
    </row>
    <row r="10" spans="1:12" x14ac:dyDescent="0.3">
      <c r="B10" s="18" t="s">
        <v>62</v>
      </c>
      <c r="C10" s="20">
        <f>C9/C6</f>
        <v>0.79979986169794803</v>
      </c>
      <c r="D10" s="20">
        <f t="shared" ref="D10:L10" si="1">D9/D6</f>
        <v>0.79173772330498504</v>
      </c>
      <c r="E10" s="20">
        <f t="shared" si="1"/>
        <v>0.79179230801900236</v>
      </c>
      <c r="F10" s="20">
        <f t="shared" si="1"/>
        <v>0.78975869276078281</v>
      </c>
      <c r="G10" s="20">
        <f t="shared" si="1"/>
        <v>0.81597671410090555</v>
      </c>
      <c r="H10" s="20">
        <f t="shared" si="1"/>
        <v>0.80645161290322576</v>
      </c>
      <c r="I10" s="20">
        <f t="shared" si="1"/>
        <v>0.79593345656192238</v>
      </c>
      <c r="J10" s="20">
        <f t="shared" si="1"/>
        <v>0.81559783885365278</v>
      </c>
      <c r="K10" s="20">
        <f t="shared" si="1"/>
        <v>0.82744475320894539</v>
      </c>
      <c r="L10" s="20">
        <f t="shared" si="1"/>
        <v>0.83874908659115821</v>
      </c>
    </row>
    <row r="12" spans="1:12" x14ac:dyDescent="0.3">
      <c r="B12" t="s">
        <v>63</v>
      </c>
      <c r="C12" s="21">
        <f>C6-C9</f>
        <v>2654.8199999999997</v>
      </c>
      <c r="D12" s="21">
        <f t="shared" ref="D12:L12" si="2">D6-D9</f>
        <v>3357.1400000000012</v>
      </c>
      <c r="E12" s="21">
        <f t="shared" si="2"/>
        <v>4118.0400000000009</v>
      </c>
      <c r="F12" s="21">
        <f t="shared" si="2"/>
        <v>4426</v>
      </c>
      <c r="G12" s="21">
        <f t="shared" si="2"/>
        <v>3983</v>
      </c>
      <c r="H12" s="21">
        <f t="shared" si="2"/>
        <v>5574</v>
      </c>
      <c r="I12" s="21">
        <f t="shared" si="2"/>
        <v>8280</v>
      </c>
      <c r="J12" s="21">
        <f t="shared" si="2"/>
        <v>9420</v>
      </c>
      <c r="K12" s="21">
        <f t="shared" si="2"/>
        <v>10432</v>
      </c>
      <c r="L12" s="21">
        <f t="shared" si="2"/>
        <v>14123</v>
      </c>
    </row>
    <row r="13" spans="1:12" x14ac:dyDescent="0.3">
      <c r="B13" s="18" t="s">
        <v>69</v>
      </c>
      <c r="C13" s="20">
        <f>C12/C6</f>
        <v>0.20020013830205197</v>
      </c>
      <c r="D13" s="20">
        <f t="shared" ref="D13:L13" si="3">D12/D6</f>
        <v>0.20826227669501496</v>
      </c>
      <c r="E13" s="20">
        <f t="shared" si="3"/>
        <v>0.20820769198099762</v>
      </c>
      <c r="F13" s="20">
        <f t="shared" si="3"/>
        <v>0.21024130723921719</v>
      </c>
      <c r="G13" s="20">
        <f t="shared" si="3"/>
        <v>0.18402328589909445</v>
      </c>
      <c r="H13" s="20">
        <f t="shared" si="3"/>
        <v>0.19354838709677419</v>
      </c>
      <c r="I13" s="20">
        <f t="shared" si="3"/>
        <v>0.20406654343807765</v>
      </c>
      <c r="J13" s="20">
        <f t="shared" si="3"/>
        <v>0.18440216114634719</v>
      </c>
      <c r="K13" s="20">
        <f t="shared" si="3"/>
        <v>0.17255524679105466</v>
      </c>
      <c r="L13" s="20">
        <f t="shared" si="3"/>
        <v>0.16125091340884179</v>
      </c>
    </row>
    <row r="15" spans="1:12" x14ac:dyDescent="0.3">
      <c r="B15" t="s">
        <v>64</v>
      </c>
      <c r="C15" s="21">
        <f>IFERROR(SUM('Data Sheet'!B23:B24),0)</f>
        <v>1490.92</v>
      </c>
      <c r="D15" s="21">
        <f>IFERROR(SUM('Data Sheet'!C23:C24),0)</f>
        <v>1712.94</v>
      </c>
      <c r="E15" s="21">
        <f>IFERROR(SUM('Data Sheet'!D23:D24),0)</f>
        <v>2124.25</v>
      </c>
      <c r="F15" s="21">
        <f>IFERROR(SUM('Data Sheet'!E23:E24),0)</f>
        <v>1963</v>
      </c>
      <c r="G15" s="21">
        <f>IFERROR(SUM('Data Sheet'!F23:F24),0)</f>
        <v>2258</v>
      </c>
      <c r="H15" s="21">
        <f>IFERROR(SUM('Data Sheet'!G23:G24),0)</f>
        <v>2230</v>
      </c>
      <c r="I15" s="21">
        <f>IFERROR(SUM('Data Sheet'!H23:H24),0)</f>
        <v>3398</v>
      </c>
      <c r="J15" s="21">
        <f>IFERROR(SUM('Data Sheet'!I23:I24),0)</f>
        <v>4128</v>
      </c>
      <c r="K15" s="21">
        <f>IFERROR(SUM('Data Sheet'!J23:J24),0)</f>
        <v>4738</v>
      </c>
      <c r="L15" s="21">
        <f>IFERROR(SUM('Data Sheet'!K23:K24),0)</f>
        <v>5766</v>
      </c>
    </row>
    <row r="16" spans="1:12" x14ac:dyDescent="0.3">
      <c r="B16" s="18" t="s">
        <v>65</v>
      </c>
      <c r="C16" s="20">
        <f>C15/C6</f>
        <v>0.11243036823486917</v>
      </c>
      <c r="D16" s="20">
        <f t="shared" ref="D16:L16" si="4">D15/D6</f>
        <v>0.10626330276424539</v>
      </c>
      <c r="E16" s="20">
        <f t="shared" si="4"/>
        <v>0.10740186828943722</v>
      </c>
      <c r="F16" s="20">
        <f t="shared" si="4"/>
        <v>9.3245297358920773E-2</v>
      </c>
      <c r="G16" s="20">
        <f t="shared" si="4"/>
        <v>0.10432452411753834</v>
      </c>
      <c r="H16" s="20">
        <f t="shared" si="4"/>
        <v>7.7433244209868399E-2</v>
      </c>
      <c r="I16" s="20">
        <f t="shared" si="4"/>
        <v>8.3746149106592727E-2</v>
      </c>
      <c r="J16" s="20">
        <f t="shared" si="4"/>
        <v>8.0808080808080815E-2</v>
      </c>
      <c r="K16" s="20">
        <f t="shared" si="4"/>
        <v>7.8371046711658066E-2</v>
      </c>
      <c r="L16" s="20">
        <f t="shared" si="4"/>
        <v>6.5833942272561202E-2</v>
      </c>
    </row>
    <row r="18" spans="2:12" x14ac:dyDescent="0.3">
      <c r="B18" t="s">
        <v>28</v>
      </c>
      <c r="C18" s="21">
        <f t="shared" ref="C18:L18" si="5">C12-C15</f>
        <v>1163.8999999999996</v>
      </c>
      <c r="D18" s="21">
        <f t="shared" si="5"/>
        <v>1644.2000000000012</v>
      </c>
      <c r="E18" s="21">
        <f t="shared" si="5"/>
        <v>1993.7900000000009</v>
      </c>
      <c r="F18" s="21">
        <f t="shared" si="5"/>
        <v>2463</v>
      </c>
      <c r="G18" s="21">
        <f t="shared" si="5"/>
        <v>1725</v>
      </c>
      <c r="H18" s="21">
        <f t="shared" si="5"/>
        <v>3344</v>
      </c>
      <c r="I18" s="21">
        <f t="shared" si="5"/>
        <v>4882</v>
      </c>
      <c r="J18" s="21">
        <f t="shared" si="5"/>
        <v>5292</v>
      </c>
      <c r="K18" s="21">
        <f t="shared" si="5"/>
        <v>5694</v>
      </c>
      <c r="L18" s="21">
        <f t="shared" si="5"/>
        <v>8357</v>
      </c>
    </row>
    <row r="19" spans="2:12" x14ac:dyDescent="0.3">
      <c r="B19" s="18" t="s">
        <v>66</v>
      </c>
      <c r="C19" s="20">
        <f>C18/C6</f>
        <v>8.7769770067182798E-2</v>
      </c>
      <c r="D19" s="20">
        <f t="shared" ref="D19:L19" si="6">D18/D6</f>
        <v>0.10199897393076955</v>
      </c>
      <c r="E19" s="20">
        <f t="shared" si="6"/>
        <v>0.10080582369156038</v>
      </c>
      <c r="F19" s="20">
        <f t="shared" si="6"/>
        <v>0.1169960098802964</v>
      </c>
      <c r="G19" s="20">
        <f t="shared" si="6"/>
        <v>7.9698761781556091E-2</v>
      </c>
      <c r="H19" s="20">
        <f t="shared" si="6"/>
        <v>0.11611514288690579</v>
      </c>
      <c r="I19" s="20">
        <f t="shared" si="6"/>
        <v>0.12032039433148491</v>
      </c>
      <c r="J19" s="20">
        <f t="shared" si="6"/>
        <v>0.10359408033826638</v>
      </c>
      <c r="K19" s="20">
        <f t="shared" si="6"/>
        <v>9.4184200079396582E-2</v>
      </c>
      <c r="L19" s="20">
        <f t="shared" si="6"/>
        <v>9.5416971136280601E-2</v>
      </c>
    </row>
    <row r="21" spans="2:12" x14ac:dyDescent="0.3">
      <c r="B21" t="s">
        <v>22</v>
      </c>
      <c r="C21" s="21">
        <f>IFERROR('Data Sheet'!B27,0)</f>
        <v>37.74</v>
      </c>
      <c r="D21" s="21">
        <f>IFERROR('Data Sheet'!C27,0)</f>
        <v>52.92</v>
      </c>
      <c r="E21" s="21">
        <f>IFERROR('Data Sheet'!D27,0)</f>
        <v>52.54</v>
      </c>
      <c r="F21" s="21">
        <f>IFERROR('Data Sheet'!E27,0)</f>
        <v>166</v>
      </c>
      <c r="G21" s="21">
        <f>IFERROR('Data Sheet'!F27,0)</f>
        <v>203</v>
      </c>
      <c r="H21" s="21">
        <f>IFERROR('Data Sheet'!G27,0)</f>
        <v>218</v>
      </c>
      <c r="I21" s="21">
        <f>IFERROR('Data Sheet'!H27,0)</f>
        <v>300</v>
      </c>
      <c r="J21" s="21">
        <f>IFERROR('Data Sheet'!I27,0)</f>
        <v>619</v>
      </c>
      <c r="K21" s="21">
        <f>IFERROR('Data Sheet'!J27,0)</f>
        <v>953</v>
      </c>
      <c r="L21" s="21">
        <f>IFERROR('Data Sheet'!K27,0)</f>
        <v>1180</v>
      </c>
    </row>
    <row r="22" spans="2:12" x14ac:dyDescent="0.3">
      <c r="B22" s="18" t="s">
        <v>67</v>
      </c>
      <c r="C22" s="20">
        <f>C21/C6</f>
        <v>2.845975704386528E-3</v>
      </c>
      <c r="D22" s="20">
        <f t="shared" ref="D22:L22" si="7">D21/D6</f>
        <v>3.2829252526555899E-3</v>
      </c>
      <c r="E22" s="20">
        <f t="shared" si="7"/>
        <v>2.6564171636704868E-3</v>
      </c>
      <c r="F22" s="20">
        <f t="shared" si="7"/>
        <v>7.8852365570967128E-3</v>
      </c>
      <c r="G22" s="20">
        <f t="shared" si="7"/>
        <v>9.3790426908150065E-3</v>
      </c>
      <c r="H22" s="20">
        <f t="shared" si="7"/>
        <v>7.5697072815028299E-3</v>
      </c>
      <c r="I22" s="20">
        <f t="shared" si="7"/>
        <v>7.3937153419593345E-3</v>
      </c>
      <c r="J22" s="20">
        <f t="shared" si="7"/>
        <v>1.2117297001017931E-2</v>
      </c>
      <c r="K22" s="20">
        <f t="shared" si="7"/>
        <v>1.5763530501521766E-2</v>
      </c>
      <c r="L22" s="20">
        <f t="shared" si="7"/>
        <v>1.3472780416514432E-2</v>
      </c>
    </row>
    <row r="24" spans="2:12" x14ac:dyDescent="0.3">
      <c r="B24" t="s">
        <v>21</v>
      </c>
      <c r="C24" s="21">
        <f>IFERROR('Data Sheet'!B26,0)</f>
        <v>110.53</v>
      </c>
      <c r="D24" s="21">
        <f>IFERROR('Data Sheet'!C26,0)</f>
        <v>131.43</v>
      </c>
      <c r="E24" s="21">
        <f>IFERROR('Data Sheet'!D26,0)</f>
        <v>162.84</v>
      </c>
      <c r="F24" s="21">
        <f>IFERROR('Data Sheet'!E26,0)</f>
        <v>348</v>
      </c>
      <c r="G24" s="21">
        <f>IFERROR('Data Sheet'!F26,0)</f>
        <v>375</v>
      </c>
      <c r="H24" s="21">
        <f>IFERROR('Data Sheet'!G26,0)</f>
        <v>399</v>
      </c>
      <c r="I24" s="21">
        <f>IFERROR('Data Sheet'!H26,0)</f>
        <v>441</v>
      </c>
      <c r="J24" s="21">
        <f>IFERROR('Data Sheet'!I26,0)</f>
        <v>584</v>
      </c>
      <c r="K24" s="21">
        <f>IFERROR('Data Sheet'!J26,0)</f>
        <v>693</v>
      </c>
      <c r="L24" s="21">
        <f>IFERROR('Data Sheet'!K26,0)</f>
        <v>826</v>
      </c>
    </row>
    <row r="25" spans="2:12" x14ac:dyDescent="0.3">
      <c r="B25" s="18" t="s">
        <v>68</v>
      </c>
      <c r="C25" s="20">
        <f>C24/C6</f>
        <v>8.3350740489094577E-3</v>
      </c>
      <c r="D25" s="20">
        <f t="shared" ref="D25:L25" si="8">D24/D6</f>
        <v>8.1533421382563153E-3</v>
      </c>
      <c r="E25" s="20">
        <f t="shared" si="8"/>
        <v>8.2331741707670752E-3</v>
      </c>
      <c r="F25" s="20">
        <f t="shared" si="8"/>
        <v>1.6530495914877447E-2</v>
      </c>
      <c r="G25" s="20">
        <f t="shared" si="8"/>
        <v>1.7325817778599151E-2</v>
      </c>
      <c r="H25" s="20">
        <f t="shared" si="8"/>
        <v>1.3854647730823988E-2</v>
      </c>
      <c r="I25" s="20">
        <f t="shared" si="8"/>
        <v>1.0868761552680222E-2</v>
      </c>
      <c r="J25" s="20">
        <f t="shared" si="8"/>
        <v>1.1432150967034689E-2</v>
      </c>
      <c r="K25" s="20">
        <f t="shared" si="8"/>
        <v>1.146288209606987E-2</v>
      </c>
      <c r="L25" s="20">
        <f t="shared" si="8"/>
        <v>9.4309462915601015E-3</v>
      </c>
    </row>
    <row r="27" spans="2:12" x14ac:dyDescent="0.3">
      <c r="B27" t="s">
        <v>70</v>
      </c>
      <c r="C27" s="21">
        <f>IFERROR(C18-SUM(C24,C21),0)</f>
        <v>1015.6299999999997</v>
      </c>
      <c r="D27" s="21">
        <f t="shared" ref="D27:L27" si="9">IFERROR(D18-SUM(D24,D21),0)</f>
        <v>1459.8500000000013</v>
      </c>
      <c r="E27" s="21">
        <f t="shared" si="9"/>
        <v>1778.4100000000008</v>
      </c>
      <c r="F27" s="21">
        <f t="shared" si="9"/>
        <v>1949</v>
      </c>
      <c r="G27" s="21">
        <f t="shared" si="9"/>
        <v>1147</v>
      </c>
      <c r="H27" s="21">
        <f t="shared" si="9"/>
        <v>2727</v>
      </c>
      <c r="I27" s="15">
        <f t="shared" si="9"/>
        <v>4141</v>
      </c>
      <c r="J27" s="15">
        <f t="shared" si="9"/>
        <v>4089</v>
      </c>
      <c r="K27" s="15">
        <f t="shared" si="9"/>
        <v>4048</v>
      </c>
      <c r="L27" s="15">
        <f t="shared" si="9"/>
        <v>6351</v>
      </c>
    </row>
    <row r="28" spans="2:12" x14ac:dyDescent="0.3">
      <c r="B28" s="18" t="s">
        <v>71</v>
      </c>
      <c r="C28" s="20">
        <f>C27/C6</f>
        <v>7.6588720313886818E-2</v>
      </c>
      <c r="D28" s="20">
        <f t="shared" ref="D28:L28" si="10">D27/D6</f>
        <v>9.0562706539857651E-2</v>
      </c>
      <c r="E28" s="20">
        <f t="shared" si="10"/>
        <v>8.9916232357122816E-2</v>
      </c>
      <c r="F28" s="20">
        <f t="shared" si="10"/>
        <v>9.2580277408322253E-2</v>
      </c>
      <c r="G28" s="20">
        <f t="shared" si="10"/>
        <v>5.2993901312141933E-2</v>
      </c>
      <c r="H28" s="20">
        <f t="shared" si="10"/>
        <v>9.4690787874578977E-2</v>
      </c>
      <c r="I28" s="20">
        <f t="shared" si="10"/>
        <v>0.10205791743684535</v>
      </c>
      <c r="J28" s="20">
        <f t="shared" si="10"/>
        <v>8.0044632370213767E-2</v>
      </c>
      <c r="K28" s="20">
        <f t="shared" si="10"/>
        <v>6.6957787481804948E-2</v>
      </c>
      <c r="L28" s="20">
        <f t="shared" si="10"/>
        <v>7.2513244428206058E-2</v>
      </c>
    </row>
    <row r="30" spans="2:12" x14ac:dyDescent="0.3">
      <c r="B30" t="s">
        <v>24</v>
      </c>
      <c r="C30" s="15">
        <f>IFERROR('Data Sheet'!B29,0)</f>
        <v>275.97000000000003</v>
      </c>
      <c r="D30" s="15">
        <f>IFERROR('Data Sheet'!C29,0)</f>
        <v>427.87</v>
      </c>
      <c r="E30" s="15">
        <f>IFERROR('Data Sheet'!D29,0)</f>
        <v>568.24</v>
      </c>
      <c r="F30" s="15">
        <f>IFERROR('Data Sheet'!E29,0)</f>
        <v>609</v>
      </c>
      <c r="G30" s="15">
        <f>IFERROR('Data Sheet'!F29,0)</f>
        <v>353</v>
      </c>
      <c r="H30" s="15">
        <f>IFERROR('Data Sheet'!G29,0)</f>
        <v>706</v>
      </c>
      <c r="I30" s="15">
        <f>IFERROR('Data Sheet'!H29,0)</f>
        <v>1173</v>
      </c>
      <c r="J30" s="15">
        <f>IFERROR('Data Sheet'!I29,0)</f>
        <v>1127</v>
      </c>
      <c r="K30" s="15">
        <f>IFERROR('Data Sheet'!J29,0)</f>
        <v>1198</v>
      </c>
      <c r="L30" s="15">
        <f>IFERROR('Data Sheet'!K29,0)</f>
        <v>1728</v>
      </c>
    </row>
    <row r="31" spans="2:12" x14ac:dyDescent="0.3">
      <c r="B31" s="18" t="s">
        <v>27</v>
      </c>
      <c r="C31" s="20">
        <f>C30/C27</f>
        <v>0.27172296997922485</v>
      </c>
      <c r="D31" s="20">
        <f t="shared" ref="D31:L31" si="11">D30/D27</f>
        <v>0.29309175600232873</v>
      </c>
      <c r="E31" s="20">
        <f t="shared" si="11"/>
        <v>0.31952137021271798</v>
      </c>
      <c r="F31" s="20">
        <f t="shared" si="11"/>
        <v>0.31246793227296049</v>
      </c>
      <c r="G31" s="20">
        <f t="shared" si="11"/>
        <v>0.30775937227550132</v>
      </c>
      <c r="H31" s="20">
        <f t="shared" si="11"/>
        <v>0.2588925559222589</v>
      </c>
      <c r="I31" s="20">
        <f t="shared" si="11"/>
        <v>0.28326491185703934</v>
      </c>
      <c r="J31" s="20">
        <f t="shared" si="11"/>
        <v>0.27561751039373927</v>
      </c>
      <c r="K31" s="20">
        <f t="shared" si="11"/>
        <v>0.29594861660079053</v>
      </c>
      <c r="L31" s="20">
        <f t="shared" si="11"/>
        <v>0.27208313651393479</v>
      </c>
    </row>
    <row r="33" spans="1:12" x14ac:dyDescent="0.3">
      <c r="B33" t="s">
        <v>72</v>
      </c>
      <c r="C33" s="15">
        <f>IFERROR(C27-C30,0)</f>
        <v>739.65999999999963</v>
      </c>
      <c r="D33" s="15">
        <f t="shared" ref="D33:L33" si="12">IFERROR(D27-D30,0)</f>
        <v>1031.9800000000014</v>
      </c>
      <c r="E33" s="15">
        <f t="shared" si="12"/>
        <v>1210.1700000000008</v>
      </c>
      <c r="F33" s="15">
        <f t="shared" si="12"/>
        <v>1340</v>
      </c>
      <c r="G33" s="15">
        <f t="shared" si="12"/>
        <v>794</v>
      </c>
      <c r="H33" s="15">
        <f t="shared" si="12"/>
        <v>2021</v>
      </c>
      <c r="I33" s="15">
        <f t="shared" si="12"/>
        <v>2968</v>
      </c>
      <c r="J33" s="15">
        <f t="shared" si="12"/>
        <v>2962</v>
      </c>
      <c r="K33" s="15">
        <f t="shared" si="12"/>
        <v>2850</v>
      </c>
      <c r="L33" s="15">
        <f t="shared" si="12"/>
        <v>4623</v>
      </c>
    </row>
    <row r="34" spans="1:12" x14ac:dyDescent="0.3">
      <c r="B34" s="18" t="s">
        <v>73</v>
      </c>
      <c r="C34" s="20">
        <f>C33/C6</f>
        <v>5.57778057632893E-2</v>
      </c>
      <c r="D34" s="20">
        <f t="shared" ref="D34:L34" si="13">D33/D6</f>
        <v>6.4019523851767193E-2</v>
      </c>
      <c r="E34" s="20">
        <f t="shared" si="13"/>
        <v>6.1186074590009805E-2</v>
      </c>
      <c r="F34" s="20">
        <f t="shared" si="13"/>
        <v>6.3651909557286723E-2</v>
      </c>
      <c r="G34" s="20">
        <f t="shared" si="13"/>
        <v>3.6684531509887264E-2</v>
      </c>
      <c r="H34" s="20">
        <f t="shared" si="13"/>
        <v>7.0176047779436784E-2</v>
      </c>
      <c r="I34" s="20">
        <f t="shared" si="13"/>
        <v>7.3148490449784345E-2</v>
      </c>
      <c r="J34" s="20">
        <f t="shared" si="13"/>
        <v>5.7982930075953329E-2</v>
      </c>
      <c r="K34" s="20">
        <f t="shared" si="13"/>
        <v>4.7141722905915048E-2</v>
      </c>
      <c r="L34" s="20">
        <f t="shared" si="13"/>
        <v>5.2783613445378151E-2</v>
      </c>
    </row>
    <row r="36" spans="1:12" x14ac:dyDescent="0.3">
      <c r="B36" t="s">
        <v>74</v>
      </c>
      <c r="C36">
        <f>IFERROR('Data Sheet'!B93,0)</f>
        <v>88.78</v>
      </c>
      <c r="D36">
        <f>IFERROR('Data Sheet'!C93,0)</f>
        <v>88.78</v>
      </c>
      <c r="E36">
        <f>IFERROR('Data Sheet'!D93,0)</f>
        <v>88.78</v>
      </c>
      <c r="F36">
        <f>IFERROR('Data Sheet'!E93,0)</f>
        <v>88.78</v>
      </c>
      <c r="G36">
        <f>IFERROR('Data Sheet'!F93,0)</f>
        <v>88.78</v>
      </c>
      <c r="H36">
        <f>IFERROR('Data Sheet'!G93,0)</f>
        <v>88.78</v>
      </c>
      <c r="I36">
        <f>IFERROR('Data Sheet'!H93,0)</f>
        <v>88.78</v>
      </c>
      <c r="J36">
        <f>IFERROR('Data Sheet'!I93,0)</f>
        <v>88.78</v>
      </c>
      <c r="K36">
        <f>IFERROR('Data Sheet'!J93,0)</f>
        <v>88.78</v>
      </c>
      <c r="L36">
        <f>IFERROR('Data Sheet'!K93,0)</f>
        <v>88.78</v>
      </c>
    </row>
    <row r="37" spans="1:12" x14ac:dyDescent="0.3"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2" x14ac:dyDescent="0.3">
      <c r="B38" t="s">
        <v>76</v>
      </c>
      <c r="C38" s="21">
        <f>IFERROR(C33/C36,0)</f>
        <v>8.3313809416535207</v>
      </c>
      <c r="D38" s="21">
        <f t="shared" ref="D38:L38" si="14">IFERROR(D33/D36,0)</f>
        <v>11.624014417661652</v>
      </c>
      <c r="E38" s="21">
        <f t="shared" si="14"/>
        <v>13.631110610497869</v>
      </c>
      <c r="F38" s="21">
        <f t="shared" si="14"/>
        <v>15.093489524667717</v>
      </c>
      <c r="G38" s="21">
        <f t="shared" si="14"/>
        <v>8.9434557332732592</v>
      </c>
      <c r="H38" s="21">
        <f t="shared" si="14"/>
        <v>22.764136066681687</v>
      </c>
      <c r="I38" s="21">
        <f t="shared" si="14"/>
        <v>33.430952917323722</v>
      </c>
      <c r="J38" s="21">
        <f t="shared" si="14"/>
        <v>33.363370128407297</v>
      </c>
      <c r="K38" s="21">
        <f t="shared" si="14"/>
        <v>32.101824735300745</v>
      </c>
      <c r="L38" s="21">
        <f t="shared" si="14"/>
        <v>52.072538860103627</v>
      </c>
    </row>
    <row r="39" spans="1:12" x14ac:dyDescent="0.3">
      <c r="B39" s="18" t="s">
        <v>77</v>
      </c>
      <c r="C39" s="20"/>
      <c r="D39" s="20">
        <f>IFERROR(D38/C38-1,0)</f>
        <v>0.3952086093610605</v>
      </c>
      <c r="E39" s="20">
        <f t="shared" ref="E39:L39" si="15">IFERROR(E38/D38-1,0)</f>
        <v>0.1726680749626921</v>
      </c>
      <c r="F39" s="20">
        <f t="shared" si="15"/>
        <v>0.1072824479205392</v>
      </c>
      <c r="G39" s="20">
        <f t="shared" si="15"/>
        <v>-0.40746268656716422</v>
      </c>
      <c r="H39" s="20">
        <f t="shared" si="15"/>
        <v>1.5453400503778343</v>
      </c>
      <c r="I39" s="20">
        <f t="shared" si="15"/>
        <v>0.46857991093518048</v>
      </c>
      <c r="J39" s="20">
        <f t="shared" si="15"/>
        <v>-2.0215633423181778E-3</v>
      </c>
      <c r="K39" s="20">
        <f t="shared" si="15"/>
        <v>-3.781228899392286E-2</v>
      </c>
      <c r="L39" s="20">
        <f t="shared" si="15"/>
        <v>0.62210526315789472</v>
      </c>
    </row>
    <row r="41" spans="1:12" x14ac:dyDescent="0.3">
      <c r="B41" t="s">
        <v>75</v>
      </c>
      <c r="C41" s="15">
        <f>IFERROR('Data Sheet'!B31/HistoricalFS!C36,0)</f>
        <v>2.6000225275963054</v>
      </c>
      <c r="D41" s="15">
        <f>IFERROR('Data Sheet'!C31/HistoricalFS!D36,0)</f>
        <v>3.7499436810092366</v>
      </c>
      <c r="E41" s="15">
        <f>IFERROR('Data Sheet'!D31/HistoricalFS!E36,0)</f>
        <v>5</v>
      </c>
      <c r="F41" s="15">
        <f>IFERROR('Data Sheet'!E31/HistoricalFS!F36,0)</f>
        <v>4.0099121423744082</v>
      </c>
      <c r="G41" s="15">
        <f>IFERROR('Data Sheet'!F31/HistoricalFS!G36,0)</f>
        <v>4.0099121423744082</v>
      </c>
      <c r="H41" s="15">
        <f>IFERROR('Data Sheet'!G31/HistoricalFS!H36,0)</f>
        <v>7.5185852669520159</v>
      </c>
      <c r="I41" s="15">
        <f>IFERROR('Data Sheet'!H31/HistoricalFS!I36,0)</f>
        <v>10.024780355936022</v>
      </c>
      <c r="J41" s="15">
        <f>IFERROR('Data Sheet'!I31/HistoricalFS!J36,0)</f>
        <v>11.027258391529625</v>
      </c>
      <c r="K41" s="15">
        <f>IFERROR('Data Sheet'!J31/HistoricalFS!K36,0)</f>
        <v>11.027258391529625</v>
      </c>
      <c r="L41" s="15">
        <f>IFERROR('Data Sheet'!K31/HistoricalFS!L36,0)</f>
        <v>15.037170533904032</v>
      </c>
    </row>
    <row r="42" spans="1:12" x14ac:dyDescent="0.3">
      <c r="B42" s="18" t="s">
        <v>78</v>
      </c>
      <c r="C42" s="20">
        <f>IFERROR(C41/C38,0)</f>
        <v>0.31207581861936584</v>
      </c>
      <c r="D42" s="20">
        <f t="shared" ref="D42:L42" si="16">IFERROR(D41/D38,0)</f>
        <v>0.32260315122386052</v>
      </c>
      <c r="E42" s="20">
        <f t="shared" si="16"/>
        <v>0.36680796912830405</v>
      </c>
      <c r="F42" s="20">
        <f t="shared" si="16"/>
        <v>0.26567164179104474</v>
      </c>
      <c r="G42" s="20">
        <f t="shared" si="16"/>
        <v>0.44836272040302266</v>
      </c>
      <c r="H42" s="20">
        <f t="shared" si="16"/>
        <v>0.33028203859475502</v>
      </c>
      <c r="I42" s="20">
        <f t="shared" si="16"/>
        <v>0.29986522911051211</v>
      </c>
      <c r="J42" s="20">
        <f t="shared" si="16"/>
        <v>0.3305199189736665</v>
      </c>
      <c r="K42" s="20">
        <f t="shared" si="16"/>
        <v>0.34350877192982454</v>
      </c>
      <c r="L42" s="20">
        <f t="shared" si="16"/>
        <v>0.28877352368591824</v>
      </c>
    </row>
    <row r="44" spans="1:12" x14ac:dyDescent="0.3">
      <c r="B44" t="s">
        <v>79</v>
      </c>
      <c r="C44" s="16">
        <f>IFERROR(IF(C38&gt;C41,1-C42,0),0)</f>
        <v>0.68792418138063416</v>
      </c>
      <c r="D44" s="16">
        <f t="shared" ref="D44:L44" si="17">IFERROR(IF(D38&gt;D41,1-D42,0),0)</f>
        <v>0.67739684877613948</v>
      </c>
      <c r="E44" s="16">
        <f t="shared" si="17"/>
        <v>0.63319203087169595</v>
      </c>
      <c r="F44" s="16">
        <f t="shared" si="17"/>
        <v>0.73432835820895526</v>
      </c>
      <c r="G44" s="16">
        <f t="shared" si="17"/>
        <v>0.55163727959697728</v>
      </c>
      <c r="H44" s="16">
        <f t="shared" si="17"/>
        <v>0.66971796140524498</v>
      </c>
      <c r="I44" s="16">
        <f t="shared" si="17"/>
        <v>0.70013477088948783</v>
      </c>
      <c r="J44" s="16">
        <f t="shared" si="17"/>
        <v>0.6694800810263335</v>
      </c>
      <c r="K44" s="16">
        <f t="shared" si="17"/>
        <v>0.65649122807017546</v>
      </c>
      <c r="L44" s="16">
        <f t="shared" si="17"/>
        <v>0.71122647631408176</v>
      </c>
    </row>
    <row r="46" spans="1:12" x14ac:dyDescent="0.3">
      <c r="A46" t="s">
        <v>58</v>
      </c>
      <c r="B46" s="24" t="s">
        <v>80</v>
      </c>
      <c r="C46" s="25"/>
      <c r="D46" s="25"/>
      <c r="E46" s="25"/>
      <c r="F46" s="25"/>
      <c r="G46" s="25"/>
      <c r="H46" s="25"/>
      <c r="I46" s="25"/>
      <c r="J46" s="25"/>
      <c r="K46" s="25"/>
      <c r="L46" s="25"/>
    </row>
    <row r="47" spans="1:12" x14ac:dyDescent="0.3">
      <c r="B47" t="s">
        <v>33</v>
      </c>
      <c r="C47" s="15">
        <f>IFERROR('Data Sheet'!B57,0)</f>
        <v>88.78</v>
      </c>
      <c r="D47" s="15">
        <f>IFERROR('Data Sheet'!C57,0)</f>
        <v>88.78</v>
      </c>
      <c r="E47" s="15">
        <f>IFERROR('Data Sheet'!D57,0)</f>
        <v>88.78</v>
      </c>
      <c r="F47" s="15">
        <f>IFERROR('Data Sheet'!E57,0)</f>
        <v>89</v>
      </c>
      <c r="G47" s="15">
        <f>IFERROR('Data Sheet'!F57,0)</f>
        <v>89</v>
      </c>
      <c r="H47" s="15">
        <f>IFERROR('Data Sheet'!G57,0)</f>
        <v>89</v>
      </c>
      <c r="I47" s="15">
        <f>IFERROR('Data Sheet'!H57,0)</f>
        <v>89</v>
      </c>
      <c r="J47" s="15">
        <f>IFERROR('Data Sheet'!I57,0)</f>
        <v>89</v>
      </c>
      <c r="K47" s="15">
        <f>IFERROR('Data Sheet'!J57,0)</f>
        <v>89</v>
      </c>
      <c r="L47" s="15">
        <f>IFERROR('Data Sheet'!K57,0)</f>
        <v>89</v>
      </c>
    </row>
    <row r="48" spans="1:12" x14ac:dyDescent="0.3">
      <c r="B48" t="s">
        <v>34</v>
      </c>
      <c r="C48" s="15">
        <f>IFERROR('Data Sheet'!B58,0)</f>
        <v>4143.6000000000004</v>
      </c>
      <c r="D48" s="15">
        <f>IFERROR('Data Sheet'!C58,0)</f>
        <v>5001.1000000000004</v>
      </c>
      <c r="E48" s="15">
        <f>IFERROR('Data Sheet'!D58,0)</f>
        <v>5981.37</v>
      </c>
      <c r="F48" s="15">
        <f>IFERROR('Data Sheet'!E58,0)</f>
        <v>6580</v>
      </c>
      <c r="G48" s="15">
        <f>IFERROR('Data Sheet'!F58,0)</f>
        <v>7408</v>
      </c>
      <c r="H48" s="15">
        <f>IFERROR('Data Sheet'!G58,0)</f>
        <v>9214</v>
      </c>
      <c r="I48" s="15">
        <f>IFERROR('Data Sheet'!H58,0)</f>
        <v>11762</v>
      </c>
      <c r="J48" s="15">
        <f>IFERROR('Data Sheet'!I58,0)</f>
        <v>9304</v>
      </c>
      <c r="K48" s="15">
        <f>IFERROR('Data Sheet'!J58,0)</f>
        <v>11535</v>
      </c>
      <c r="L48" s="15">
        <f>IFERROR('Data Sheet'!K58,0)</f>
        <v>15614</v>
      </c>
    </row>
    <row r="49" spans="2:12" x14ac:dyDescent="0.3">
      <c r="B49" t="s">
        <v>35</v>
      </c>
      <c r="C49" s="15">
        <f>IFERROR('Data Sheet'!B59,0)</f>
        <v>1882.43</v>
      </c>
      <c r="D49" s="15">
        <f>IFERROR('Data Sheet'!C59,0)</f>
        <v>1691.01</v>
      </c>
      <c r="E49" s="15">
        <f>IFERROR('Data Sheet'!D59,0)</f>
        <v>2392.98</v>
      </c>
      <c r="F49" s="15">
        <f>IFERROR('Data Sheet'!E59,0)</f>
        <v>3562</v>
      </c>
      <c r="G49" s="15">
        <f>IFERROR('Data Sheet'!F59,0)</f>
        <v>5638</v>
      </c>
      <c r="H49" s="15">
        <f>IFERROR('Data Sheet'!G59,0)</f>
        <v>7275</v>
      </c>
      <c r="I49" s="15">
        <f>IFERROR('Data Sheet'!H59,0)</f>
        <v>9367</v>
      </c>
      <c r="J49" s="15">
        <f>IFERROR('Data Sheet'!I59,0)</f>
        <v>15528</v>
      </c>
      <c r="K49" s="15">
        <f>IFERROR('Data Sheet'!J59,0)</f>
        <v>20777</v>
      </c>
      <c r="L49" s="15">
        <f>IFERROR('Data Sheet'!K59,0)</f>
        <v>30621</v>
      </c>
    </row>
    <row r="50" spans="2:12" x14ac:dyDescent="0.3">
      <c r="B50" t="s">
        <v>36</v>
      </c>
      <c r="C50" s="15">
        <f>IFERROR('Data Sheet'!B60,0)</f>
        <v>2292.7600000000002</v>
      </c>
      <c r="D50" s="15">
        <f>IFERROR('Data Sheet'!C60,0)</f>
        <v>2740.15</v>
      </c>
      <c r="E50" s="15">
        <f>IFERROR('Data Sheet'!D60,0)</f>
        <v>3246.71</v>
      </c>
      <c r="F50" s="15">
        <f>IFERROR('Data Sheet'!E60,0)</f>
        <v>3313</v>
      </c>
      <c r="G50" s="15">
        <f>IFERROR('Data Sheet'!F60,0)</f>
        <v>3309</v>
      </c>
      <c r="H50" s="15">
        <f>IFERROR('Data Sheet'!G60,0)</f>
        <v>4610</v>
      </c>
      <c r="I50" s="15">
        <f>IFERROR('Data Sheet'!H60,0)</f>
        <v>5802</v>
      </c>
      <c r="J50" s="15">
        <f>IFERROR('Data Sheet'!I60,0)</f>
        <v>6626</v>
      </c>
      <c r="K50" s="15">
        <f>IFERROR('Data Sheet'!J60,0)</f>
        <v>8244</v>
      </c>
      <c r="L50" s="15">
        <f>IFERROR('Data Sheet'!K60,0)</f>
        <v>14237</v>
      </c>
    </row>
    <row r="51" spans="2:12" x14ac:dyDescent="0.3">
      <c r="B51" s="14" t="s">
        <v>81</v>
      </c>
      <c r="C51" s="26">
        <f>IFERROR('Data Sheet'!B61,0)</f>
        <v>8407.57</v>
      </c>
      <c r="D51" s="26">
        <f>IFERROR('Data Sheet'!C61,0)</f>
        <v>9521.0400000000009</v>
      </c>
      <c r="E51" s="26">
        <f>IFERROR('Data Sheet'!D61,0)</f>
        <v>11709.84</v>
      </c>
      <c r="F51" s="26">
        <f>IFERROR('Data Sheet'!E61,0)</f>
        <v>13544</v>
      </c>
      <c r="G51" s="26">
        <f>IFERROR('Data Sheet'!F61,0)</f>
        <v>16444</v>
      </c>
      <c r="H51" s="26">
        <f>IFERROR('Data Sheet'!G61,0)</f>
        <v>21188</v>
      </c>
      <c r="I51" s="26">
        <f>IFERROR('Data Sheet'!H61,0)</f>
        <v>27020</v>
      </c>
      <c r="J51" s="26">
        <f>IFERROR('Data Sheet'!I61,0)</f>
        <v>31547</v>
      </c>
      <c r="K51" s="26">
        <f>IFERROR('Data Sheet'!J61,0)</f>
        <v>40645</v>
      </c>
      <c r="L51" s="26">
        <f>IFERROR('Data Sheet'!K61,0)</f>
        <v>60561</v>
      </c>
    </row>
    <row r="53" spans="2:12" x14ac:dyDescent="0.3">
      <c r="B53" t="s">
        <v>82</v>
      </c>
      <c r="C53" s="15">
        <f>IFERROR('Data Sheet'!B62,0)</f>
        <v>1188.72</v>
      </c>
      <c r="D53" s="15">
        <f>IFERROR('Data Sheet'!C62,0)</f>
        <v>1473.81</v>
      </c>
      <c r="E53" s="15">
        <f>IFERROR('Data Sheet'!D62,0)</f>
        <v>1566.63</v>
      </c>
      <c r="F53" s="15">
        <f>IFERROR('Data Sheet'!E62,0)</f>
        <v>2633</v>
      </c>
      <c r="G53" s="15">
        <f>IFERROR('Data Sheet'!F62,0)</f>
        <v>2523</v>
      </c>
      <c r="H53" s="15">
        <f>IFERROR('Data Sheet'!G62,0)</f>
        <v>2544</v>
      </c>
      <c r="I53" s="15">
        <f>IFERROR('Data Sheet'!H62,0)</f>
        <v>2998</v>
      </c>
      <c r="J53" s="15">
        <f>IFERROR('Data Sheet'!I62,0)</f>
        <v>3709</v>
      </c>
      <c r="K53" s="15">
        <f>IFERROR('Data Sheet'!J62,0)</f>
        <v>4062</v>
      </c>
      <c r="L53" s="15">
        <f>IFERROR('Data Sheet'!K62,0)</f>
        <v>6878</v>
      </c>
    </row>
    <row r="54" spans="2:12" x14ac:dyDescent="0.3">
      <c r="B54" t="s">
        <v>39</v>
      </c>
      <c r="C54" s="15">
        <f>IFERROR('Data Sheet'!B63,0)</f>
        <v>152.07</v>
      </c>
      <c r="D54" s="15">
        <f>IFERROR('Data Sheet'!C63,0)</f>
        <v>43.37</v>
      </c>
      <c r="E54" s="15">
        <f>IFERROR('Data Sheet'!D63,0)</f>
        <v>31.77</v>
      </c>
      <c r="F54" s="15">
        <f>IFERROR('Data Sheet'!E63,0)</f>
        <v>18</v>
      </c>
      <c r="G54" s="15">
        <f>IFERROR('Data Sheet'!F63,0)</f>
        <v>32</v>
      </c>
      <c r="H54" s="15">
        <f>IFERROR('Data Sheet'!G63,0)</f>
        <v>85</v>
      </c>
      <c r="I54" s="15">
        <f>IFERROR('Data Sheet'!H63,0)</f>
        <v>144</v>
      </c>
      <c r="J54" s="15">
        <f>IFERROR('Data Sheet'!I63,0)</f>
        <v>97</v>
      </c>
      <c r="K54" s="15">
        <f>IFERROR('Data Sheet'!J63,0)</f>
        <v>105</v>
      </c>
      <c r="L54" s="15">
        <f>IFERROR('Data Sheet'!K63,0)</f>
        <v>163</v>
      </c>
    </row>
    <row r="55" spans="2:12" x14ac:dyDescent="0.3">
      <c r="B55" t="s">
        <v>40</v>
      </c>
      <c r="C55" s="15">
        <f>IFERROR('Data Sheet'!B64,0)</f>
        <v>430.73</v>
      </c>
      <c r="D55" s="15">
        <f>IFERROR('Data Sheet'!C64,0)</f>
        <v>35.99</v>
      </c>
      <c r="E55" s="15">
        <f>IFERROR('Data Sheet'!D64,0)</f>
        <v>108.42</v>
      </c>
      <c r="F55" s="15">
        <f>IFERROR('Data Sheet'!E64,0)</f>
        <v>158</v>
      </c>
      <c r="G55" s="15">
        <f>IFERROR('Data Sheet'!F64,0)</f>
        <v>2824</v>
      </c>
      <c r="H55" s="15">
        <f>IFERROR('Data Sheet'!G64,0)</f>
        <v>294</v>
      </c>
      <c r="I55" s="15">
        <f>IFERROR('Data Sheet'!H64,0)</f>
        <v>2515</v>
      </c>
      <c r="J55" s="15">
        <f>IFERROR('Data Sheet'!I64,0)</f>
        <v>2345</v>
      </c>
      <c r="K55" s="15">
        <f>IFERROR('Data Sheet'!J64,0)</f>
        <v>1988</v>
      </c>
      <c r="L55" s="15">
        <f>IFERROR('Data Sheet'!K64,0)</f>
        <v>3506</v>
      </c>
    </row>
    <row r="56" spans="2:12" x14ac:dyDescent="0.3">
      <c r="B56" t="s">
        <v>41</v>
      </c>
      <c r="C56" s="15">
        <f>IFERROR('Data Sheet'!B65-SUM('Data Sheet'!B67:B69),0)</f>
        <v>723.77999999999975</v>
      </c>
      <c r="D56" s="15">
        <f>IFERROR('Data Sheet'!C65-SUM('Data Sheet'!C67:C69),0)</f>
        <v>1129.4300000000003</v>
      </c>
      <c r="E56" s="15">
        <f>IFERROR('Data Sheet'!D65-SUM('Data Sheet'!D67:D69),0)</f>
        <v>1477.2700000000004</v>
      </c>
      <c r="F56" s="15">
        <f>IFERROR('Data Sheet'!E65-SUM('Data Sheet'!E67:E69),0)</f>
        <v>1939</v>
      </c>
      <c r="G56" s="15">
        <f>IFERROR('Data Sheet'!F65-SUM('Data Sheet'!F67:F69),0)</f>
        <v>1731</v>
      </c>
      <c r="H56" s="15">
        <f>IFERROR('Data Sheet'!G65-SUM('Data Sheet'!G67:G69),0)</f>
        <v>2518</v>
      </c>
      <c r="I56" s="15">
        <f>IFERROR('Data Sheet'!H65-SUM('Data Sheet'!H67:H69),0)</f>
        <v>2762</v>
      </c>
      <c r="J56" s="15">
        <f>IFERROR('Data Sheet'!I65-SUM('Data Sheet'!I67:I69),0)</f>
        <v>3801</v>
      </c>
      <c r="K56" s="15">
        <f>IFERROR('Data Sheet'!J65-SUM('Data Sheet'!J67:J69),0)</f>
        <v>3654</v>
      </c>
      <c r="L56" s="15">
        <f>IFERROR('Data Sheet'!K65-SUM('Data Sheet'!K67:K69),0)</f>
        <v>4438</v>
      </c>
    </row>
    <row r="57" spans="2:12" x14ac:dyDescent="0.3">
      <c r="B57" s="14" t="s">
        <v>83</v>
      </c>
      <c r="C57" s="26">
        <f>SUM(C53:C56)</f>
        <v>2495.2999999999997</v>
      </c>
      <c r="D57" s="26">
        <f t="shared" ref="D57:L57" si="18">SUM(D53:D56)</f>
        <v>2682.6000000000004</v>
      </c>
      <c r="E57" s="26">
        <f t="shared" si="18"/>
        <v>3184.0900000000006</v>
      </c>
      <c r="F57" s="26">
        <f t="shared" si="18"/>
        <v>4748</v>
      </c>
      <c r="G57" s="26">
        <f t="shared" si="18"/>
        <v>7110</v>
      </c>
      <c r="H57" s="26">
        <f t="shared" si="18"/>
        <v>5441</v>
      </c>
      <c r="I57" s="26">
        <f t="shared" si="18"/>
        <v>8419</v>
      </c>
      <c r="J57" s="26">
        <f t="shared" si="18"/>
        <v>9952</v>
      </c>
      <c r="K57" s="26">
        <f t="shared" si="18"/>
        <v>9809</v>
      </c>
      <c r="L57" s="26">
        <f t="shared" si="18"/>
        <v>14985</v>
      </c>
    </row>
    <row r="58" spans="2:12" x14ac:dyDescent="0.3">
      <c r="B58" s="14"/>
    </row>
    <row r="59" spans="2:12" x14ac:dyDescent="0.3">
      <c r="B59" t="s">
        <v>42</v>
      </c>
      <c r="C59" s="15">
        <f>IFERROR('Data Sheet'!B67,0)</f>
        <v>207.6</v>
      </c>
      <c r="D59" s="15">
        <f>IFERROR('Data Sheet'!C67,0)</f>
        <v>295.69</v>
      </c>
      <c r="E59" s="15">
        <f>IFERROR('Data Sheet'!D67,0)</f>
        <v>420.45</v>
      </c>
      <c r="F59" s="15">
        <f>IFERROR('Data Sheet'!E67,0)</f>
        <v>312</v>
      </c>
      <c r="G59" s="15">
        <f>IFERROR('Data Sheet'!F67,0)</f>
        <v>366</v>
      </c>
      <c r="H59" s="15">
        <f>IFERROR('Data Sheet'!G67,0)</f>
        <v>565</v>
      </c>
      <c r="I59" s="15">
        <f>IFERROR('Data Sheet'!H67,0)</f>
        <v>674</v>
      </c>
      <c r="J59" s="15">
        <f>IFERROR('Data Sheet'!I67,0)</f>
        <v>1018</v>
      </c>
      <c r="K59" s="15">
        <f>IFERROR('Data Sheet'!J67,0)</f>
        <v>1068</v>
      </c>
      <c r="L59" s="15">
        <f>IFERROR('Data Sheet'!K67,0)</f>
        <v>916</v>
      </c>
    </row>
    <row r="60" spans="2:12" x14ac:dyDescent="0.3">
      <c r="B60" t="s">
        <v>43</v>
      </c>
      <c r="C60" s="15">
        <f>IFERROR('Data Sheet'!B68,0)</f>
        <v>4925.74</v>
      </c>
      <c r="D60" s="15">
        <f>IFERROR('Data Sheet'!C68,0)</f>
        <v>5924.84</v>
      </c>
      <c r="E60" s="15">
        <f>IFERROR('Data Sheet'!D68,0)</f>
        <v>7038.82</v>
      </c>
      <c r="F60" s="15">
        <f>IFERROR('Data Sheet'!E68,0)</f>
        <v>8103</v>
      </c>
      <c r="G60" s="15">
        <f>IFERROR('Data Sheet'!F68,0)</f>
        <v>8408</v>
      </c>
      <c r="H60" s="15">
        <f>IFERROR('Data Sheet'!G68,0)</f>
        <v>13609</v>
      </c>
      <c r="I60" s="15">
        <f>IFERROR('Data Sheet'!H68,0)</f>
        <v>16584</v>
      </c>
      <c r="J60" s="15">
        <f>IFERROR('Data Sheet'!I68,0)</f>
        <v>19051</v>
      </c>
      <c r="K60" s="15">
        <f>IFERROR('Data Sheet'!J68,0)</f>
        <v>28184</v>
      </c>
      <c r="L60" s="15">
        <f>IFERROR('Data Sheet'!K68,0)</f>
        <v>42743</v>
      </c>
    </row>
    <row r="61" spans="2:12" x14ac:dyDescent="0.3">
      <c r="B61" t="s">
        <v>44</v>
      </c>
      <c r="C61" s="15">
        <f>IFERROR('Data Sheet'!B69,0)</f>
        <v>778.93</v>
      </c>
      <c r="D61" s="15">
        <f>IFERROR('Data Sheet'!C69,0)</f>
        <v>617.91</v>
      </c>
      <c r="E61" s="15">
        <f>IFERROR('Data Sheet'!D69,0)</f>
        <v>1066.48</v>
      </c>
      <c r="F61" s="15">
        <f>IFERROR('Data Sheet'!E69,0)</f>
        <v>381</v>
      </c>
      <c r="G61" s="15">
        <f>IFERROR('Data Sheet'!F69,0)</f>
        <v>560</v>
      </c>
      <c r="H61" s="15">
        <f>IFERROR('Data Sheet'!G69,0)</f>
        <v>1573</v>
      </c>
      <c r="I61" s="15">
        <f>IFERROR('Data Sheet'!H69,0)</f>
        <v>1343</v>
      </c>
      <c r="J61" s="15">
        <f>IFERROR('Data Sheet'!I69,0)</f>
        <v>1526</v>
      </c>
      <c r="K61" s="15">
        <f>IFERROR('Data Sheet'!J69,0)</f>
        <v>1584</v>
      </c>
      <c r="L61" s="15">
        <f>IFERROR('Data Sheet'!K69,0)</f>
        <v>1917</v>
      </c>
    </row>
    <row r="62" spans="2:12" x14ac:dyDescent="0.3">
      <c r="B62" s="14" t="s">
        <v>84</v>
      </c>
      <c r="C62" s="26">
        <f>IFERROR(SUM(C59:C61),0)</f>
        <v>5912.27</v>
      </c>
      <c r="D62" s="26">
        <f t="shared" ref="D62:L62" si="19">IFERROR(SUM(D59:D61),0)</f>
        <v>6838.44</v>
      </c>
      <c r="E62" s="26">
        <f t="shared" si="19"/>
        <v>8525.75</v>
      </c>
      <c r="F62" s="26">
        <f t="shared" si="19"/>
        <v>8796</v>
      </c>
      <c r="G62" s="26">
        <f t="shared" si="19"/>
        <v>9334</v>
      </c>
      <c r="H62" s="26">
        <f t="shared" si="19"/>
        <v>15747</v>
      </c>
      <c r="I62" s="26">
        <f t="shared" si="19"/>
        <v>18601</v>
      </c>
      <c r="J62" s="26">
        <f t="shared" si="19"/>
        <v>21595</v>
      </c>
      <c r="K62" s="26">
        <f t="shared" si="19"/>
        <v>30836</v>
      </c>
      <c r="L62" s="26">
        <f t="shared" si="19"/>
        <v>45576</v>
      </c>
    </row>
    <row r="64" spans="2:12" x14ac:dyDescent="0.3">
      <c r="B64" s="14" t="s">
        <v>85</v>
      </c>
      <c r="C64" s="26">
        <f>IFERROR(C62+C57,0)</f>
        <v>8407.57</v>
      </c>
      <c r="D64" s="26">
        <f t="shared" ref="D64:L64" si="20">IFERROR(D62+D57,0)</f>
        <v>9521.0400000000009</v>
      </c>
      <c r="E64" s="26">
        <f t="shared" si="20"/>
        <v>11709.84</v>
      </c>
      <c r="F64" s="26">
        <f t="shared" si="20"/>
        <v>13544</v>
      </c>
      <c r="G64" s="26">
        <f t="shared" si="20"/>
        <v>16444</v>
      </c>
      <c r="H64" s="26">
        <f t="shared" si="20"/>
        <v>21188</v>
      </c>
      <c r="I64" s="26">
        <f t="shared" si="20"/>
        <v>27020</v>
      </c>
      <c r="J64" s="26">
        <f t="shared" si="20"/>
        <v>31547</v>
      </c>
      <c r="K64" s="26">
        <f t="shared" si="20"/>
        <v>40645</v>
      </c>
      <c r="L64" s="26">
        <f t="shared" si="20"/>
        <v>60561</v>
      </c>
    </row>
    <row r="66" spans="1:12" x14ac:dyDescent="0.3">
      <c r="B66" s="17" t="s">
        <v>86</v>
      </c>
      <c r="C66" s="17" t="b">
        <f>C64=C51</f>
        <v>1</v>
      </c>
      <c r="D66" s="17" t="b">
        <f t="shared" ref="D66:L66" si="21">D64=D51</f>
        <v>1</v>
      </c>
      <c r="E66" s="17" t="b">
        <f t="shared" si="21"/>
        <v>1</v>
      </c>
      <c r="F66" s="17" t="b">
        <f t="shared" si="21"/>
        <v>1</v>
      </c>
      <c r="G66" s="17" t="b">
        <f t="shared" si="21"/>
        <v>1</v>
      </c>
      <c r="H66" s="17" t="b">
        <f t="shared" si="21"/>
        <v>1</v>
      </c>
      <c r="I66" s="17" t="b">
        <f t="shared" si="21"/>
        <v>1</v>
      </c>
      <c r="J66" s="17" t="b">
        <f t="shared" si="21"/>
        <v>1</v>
      </c>
      <c r="K66" s="17" t="b">
        <f t="shared" si="21"/>
        <v>1</v>
      </c>
      <c r="L66" s="17" t="b">
        <f t="shared" si="21"/>
        <v>1</v>
      </c>
    </row>
    <row r="68" spans="1:12" x14ac:dyDescent="0.3">
      <c r="A68" t="s">
        <v>58</v>
      </c>
      <c r="B68" s="24" t="s">
        <v>112</v>
      </c>
      <c r="C68" s="25"/>
      <c r="D68" s="25"/>
      <c r="E68" s="25"/>
      <c r="F68" s="25"/>
      <c r="G68" s="25"/>
      <c r="H68" s="25"/>
      <c r="I68" s="25"/>
      <c r="J68" s="25"/>
      <c r="K68" s="25"/>
      <c r="L68" s="25"/>
    </row>
    <row r="69" spans="1:12" x14ac:dyDescent="0.3">
      <c r="B69" s="14" t="s">
        <v>113</v>
      </c>
    </row>
    <row r="70" spans="1:12" x14ac:dyDescent="0.3">
      <c r="B70" t="s">
        <v>87</v>
      </c>
      <c r="C70" s="15">
        <f>IFERROR('Cash Flow Data'!E4,0)</f>
        <v>1073</v>
      </c>
      <c r="D70" s="15">
        <f>IFERROR('Cash Flow Data'!F4,0)</f>
        <v>1642</v>
      </c>
      <c r="E70" s="15">
        <f>IFERROR('Cash Flow Data'!G4,0)</f>
        <v>2183</v>
      </c>
      <c r="F70" s="15">
        <f>IFERROR('Cash Flow Data'!H4,0)</f>
        <v>2481</v>
      </c>
      <c r="G70" s="15">
        <f>IFERROR('Cash Flow Data'!I4,0)</f>
        <v>1789</v>
      </c>
      <c r="H70" s="15">
        <f>IFERROR('Cash Flow Data'!J4,0)</f>
        <v>3298</v>
      </c>
      <c r="I70" s="15">
        <f>IFERROR('Cash Flow Data'!K4,0)</f>
        <v>4937</v>
      </c>
      <c r="J70" s="15">
        <f>IFERROR('Cash Flow Data'!L4,0)</f>
        <v>5404</v>
      </c>
      <c r="K70" s="15">
        <f>IFERROR('Cash Flow Data'!M4,0)</f>
        <v>5774</v>
      </c>
      <c r="L70" s="15">
        <f>IFERROR('Cash Flow Data'!N4,0)</f>
        <v>8447</v>
      </c>
    </row>
    <row r="71" spans="1:12" x14ac:dyDescent="0.3">
      <c r="B71" t="s">
        <v>42</v>
      </c>
      <c r="C71" s="15">
        <f>IFERROR('Cash Flow Data'!E5,0)</f>
        <v>-12</v>
      </c>
      <c r="D71" s="15">
        <f>IFERROR('Cash Flow Data'!F5,0)</f>
        <v>-90</v>
      </c>
      <c r="E71" s="15">
        <f>IFERROR('Cash Flow Data'!G5,0)</f>
        <v>-139</v>
      </c>
      <c r="F71" s="15">
        <f>IFERROR('Cash Flow Data'!H5,0)</f>
        <v>109</v>
      </c>
      <c r="G71" s="15">
        <f>IFERROR('Cash Flow Data'!I5,0)</f>
        <v>-59</v>
      </c>
      <c r="H71" s="15">
        <f>IFERROR('Cash Flow Data'!J5,0)</f>
        <v>-207</v>
      </c>
      <c r="I71" s="15">
        <f>IFERROR('Cash Flow Data'!K5,0)</f>
        <v>-112</v>
      </c>
      <c r="J71" s="15">
        <f>IFERROR('Cash Flow Data'!L5,0)</f>
        <v>-348</v>
      </c>
      <c r="K71" s="15">
        <f>IFERROR('Cash Flow Data'!M5,0)</f>
        <v>-95</v>
      </c>
      <c r="L71" s="15">
        <f>IFERROR('Cash Flow Data'!N5,0)</f>
        <v>210</v>
      </c>
    </row>
    <row r="72" spans="1:12" x14ac:dyDescent="0.3">
      <c r="B72" t="s">
        <v>43</v>
      </c>
      <c r="C72" s="15">
        <f>IFERROR('Cash Flow Data'!E6,0)</f>
        <v>-448</v>
      </c>
      <c r="D72" s="15">
        <f>IFERROR('Cash Flow Data'!F6,0)</f>
        <v>-996</v>
      </c>
      <c r="E72" s="15">
        <f>IFERROR('Cash Flow Data'!G6,0)</f>
        <v>-1120</v>
      </c>
      <c r="F72" s="15">
        <f>IFERROR('Cash Flow Data'!H6,0)</f>
        <v>-1057</v>
      </c>
      <c r="G72" s="15">
        <f>IFERROR('Cash Flow Data'!I6,0)</f>
        <v>-316</v>
      </c>
      <c r="H72" s="15">
        <f>IFERROR('Cash Flow Data'!J6,0)</f>
        <v>-5199</v>
      </c>
      <c r="I72" s="15">
        <f>IFERROR('Cash Flow Data'!K6,0)</f>
        <v>-2977</v>
      </c>
      <c r="J72" s="15">
        <f>IFERROR('Cash Flow Data'!L6,0)</f>
        <v>-2462</v>
      </c>
      <c r="K72" s="15">
        <f>IFERROR('Cash Flow Data'!M6,0)</f>
        <v>-9072</v>
      </c>
      <c r="L72" s="15">
        <f>IFERROR('Cash Flow Data'!N6,0)</f>
        <v>-11592</v>
      </c>
    </row>
    <row r="73" spans="1:12" x14ac:dyDescent="0.3">
      <c r="B73" t="s">
        <v>88</v>
      </c>
      <c r="C73" s="15">
        <f>IFERROR('Cash Flow Data'!E7,0)</f>
        <v>238</v>
      </c>
      <c r="D73" s="15">
        <f>IFERROR('Cash Flow Data'!F7,0)</f>
        <v>95</v>
      </c>
      <c r="E73" s="15">
        <f>IFERROR('Cash Flow Data'!G7,0)</f>
        <v>32</v>
      </c>
      <c r="F73" s="15">
        <f>IFERROR('Cash Flow Data'!H7,0)</f>
        <v>-310</v>
      </c>
      <c r="G73" s="15">
        <f>IFERROR('Cash Flow Data'!I7,0)</f>
        <v>195</v>
      </c>
      <c r="H73" s="15">
        <f>IFERROR('Cash Flow Data'!J7,0)</f>
        <v>504</v>
      </c>
      <c r="I73" s="15">
        <f>IFERROR('Cash Flow Data'!K7,0)</f>
        <v>-89</v>
      </c>
      <c r="J73" s="15">
        <f>IFERROR('Cash Flow Data'!L7,0)</f>
        <v>196</v>
      </c>
      <c r="K73" s="15">
        <f>IFERROR('Cash Flow Data'!M7,0)</f>
        <v>564</v>
      </c>
      <c r="L73" s="15">
        <f>IFERROR('Cash Flow Data'!N7,0)</f>
        <v>472</v>
      </c>
    </row>
    <row r="74" spans="1:12" x14ac:dyDescent="0.3">
      <c r="B74" t="s">
        <v>89</v>
      </c>
      <c r="C74" s="15">
        <f>IFERROR('Cash Flow Data'!E8,0)</f>
        <v>0</v>
      </c>
      <c r="D74" s="15">
        <f>IFERROR('Cash Flow Data'!F8,0)</f>
        <v>3</v>
      </c>
      <c r="E74" s="15">
        <f>IFERROR('Cash Flow Data'!G8,0)</f>
        <v>-24</v>
      </c>
      <c r="F74" s="15">
        <f>IFERROR('Cash Flow Data'!H8,0)</f>
        <v>-20</v>
      </c>
      <c r="G74" s="15">
        <f>IFERROR('Cash Flow Data'!I8,0)</f>
        <v>-8</v>
      </c>
      <c r="H74" s="15">
        <f>IFERROR('Cash Flow Data'!J8,0)</f>
        <v>-3</v>
      </c>
      <c r="I74" s="15">
        <f>IFERROR('Cash Flow Data'!K8,0)</f>
        <v>-18</v>
      </c>
      <c r="J74" s="15">
        <f>IFERROR('Cash Flow Data'!L8,0)</f>
        <v>-21</v>
      </c>
      <c r="K74" s="15">
        <f>IFERROR('Cash Flow Data'!M8,0)</f>
        <v>4</v>
      </c>
      <c r="L74" s="15">
        <f>IFERROR('Cash Flow Data'!N8,0)</f>
        <v>-8</v>
      </c>
    </row>
    <row r="75" spans="1:12" x14ac:dyDescent="0.3">
      <c r="B75" t="s">
        <v>118</v>
      </c>
      <c r="C75" s="15">
        <f>IFERROR('Cash Flow Data'!E9,0)</f>
        <v>763</v>
      </c>
      <c r="D75" s="15">
        <f>IFERROR('Cash Flow Data'!F9,0)</f>
        <v>-270</v>
      </c>
      <c r="E75" s="15">
        <f>IFERROR('Cash Flow Data'!G9,0)</f>
        <v>741</v>
      </c>
      <c r="F75" s="15">
        <f>IFERROR('Cash Flow Data'!H9,0)</f>
        <v>-768</v>
      </c>
      <c r="G75" s="15">
        <f>IFERROR('Cash Flow Data'!I9,0)</f>
        <v>2625</v>
      </c>
      <c r="H75" s="15">
        <f>IFERROR('Cash Flow Data'!J9,0)</f>
        <v>1188</v>
      </c>
      <c r="I75" s="15">
        <f>IFERROR('Cash Flow Data'!K9,0)</f>
        <v>-99</v>
      </c>
      <c r="J75" s="15">
        <f>IFERROR('Cash Flow Data'!L9,0)</f>
        <v>42</v>
      </c>
      <c r="K75" s="15">
        <f>IFERROR('Cash Flow Data'!M9,0)</f>
        <v>2468</v>
      </c>
      <c r="L75" s="15">
        <f>IFERROR('Cash Flow Data'!N9,0)</f>
        <v>7304</v>
      </c>
    </row>
    <row r="76" spans="1:12" x14ac:dyDescent="0.3">
      <c r="B76" t="s">
        <v>90</v>
      </c>
      <c r="C76" s="15">
        <f>IFERROR('Cash Flow Data'!E10,0)</f>
        <v>375</v>
      </c>
      <c r="D76" s="15">
        <f>IFERROR('Cash Flow Data'!F10,0)</f>
        <v>22</v>
      </c>
      <c r="E76" s="15">
        <f>IFERROR('Cash Flow Data'!G10,0)</f>
        <v>206</v>
      </c>
      <c r="F76" s="15">
        <f>IFERROR('Cash Flow Data'!H10,0)</f>
        <v>-226</v>
      </c>
      <c r="G76" s="15">
        <f>IFERROR('Cash Flow Data'!I10,0)</f>
        <v>184</v>
      </c>
      <c r="H76" s="15">
        <f>IFERROR('Cash Flow Data'!J10,0)</f>
        <v>497</v>
      </c>
      <c r="I76" s="15">
        <f>IFERROR('Cash Flow Data'!K10,0)</f>
        <v>882</v>
      </c>
      <c r="J76" s="15">
        <f>IFERROR('Cash Flow Data'!L10,0)</f>
        <v>57</v>
      </c>
      <c r="K76" s="15">
        <f>IFERROR('Cash Flow Data'!M10,0)</f>
        <v>905</v>
      </c>
      <c r="L76" s="15">
        <f>IFERROR('Cash Flow Data'!N10,0)</f>
        <v>2494</v>
      </c>
    </row>
    <row r="77" spans="1:12" x14ac:dyDescent="0.3">
      <c r="B77" t="s">
        <v>92</v>
      </c>
      <c r="C77" s="15">
        <f>IFERROR('Cash Flow Data'!E12,0)</f>
        <v>-277</v>
      </c>
      <c r="D77" s="15">
        <f>IFERROR('Cash Flow Data'!F12,0)</f>
        <v>-456</v>
      </c>
      <c r="E77" s="15">
        <f>IFERROR('Cash Flow Data'!G12,0)</f>
        <v>-636</v>
      </c>
      <c r="F77" s="15">
        <f>IFERROR('Cash Flow Data'!H12,0)</f>
        <v>-557</v>
      </c>
      <c r="G77" s="15">
        <f>IFERROR('Cash Flow Data'!I12,0)</f>
        <v>-271</v>
      </c>
      <c r="H77" s="15">
        <f>IFERROR('Cash Flow Data'!J12,0)</f>
        <v>-802</v>
      </c>
      <c r="I77" s="15">
        <f>IFERROR('Cash Flow Data'!K12,0)</f>
        <v>-1154</v>
      </c>
      <c r="J77" s="15">
        <f>IFERROR('Cash Flow Data'!L12,0)</f>
        <v>-1173</v>
      </c>
      <c r="K77" s="15">
        <f>IFERROR('Cash Flow Data'!M12,0)</f>
        <v>-1089</v>
      </c>
      <c r="L77" s="15">
        <f>IFERROR('Cash Flow Data'!N12,0)</f>
        <v>-1737</v>
      </c>
    </row>
    <row r="78" spans="1:12" x14ac:dyDescent="0.3">
      <c r="B78" s="14" t="s">
        <v>121</v>
      </c>
      <c r="C78" s="26">
        <f t="shared" ref="C78:L78" si="22">SUM(C70:C76)+C77</f>
        <v>1712</v>
      </c>
      <c r="D78" s="26">
        <f t="shared" si="22"/>
        <v>-50</v>
      </c>
      <c r="E78" s="26">
        <f t="shared" si="22"/>
        <v>1243</v>
      </c>
      <c r="F78" s="26">
        <f t="shared" si="22"/>
        <v>-348</v>
      </c>
      <c r="G78" s="26">
        <f t="shared" si="22"/>
        <v>4139</v>
      </c>
      <c r="H78" s="26">
        <f t="shared" si="22"/>
        <v>-724</v>
      </c>
      <c r="I78" s="26">
        <f t="shared" si="22"/>
        <v>1370</v>
      </c>
      <c r="J78" s="26">
        <f t="shared" si="22"/>
        <v>1695</v>
      </c>
      <c r="K78" s="26">
        <f t="shared" si="22"/>
        <v>-541</v>
      </c>
      <c r="L78" s="26">
        <f t="shared" si="22"/>
        <v>5590</v>
      </c>
    </row>
    <row r="79" spans="1:12" x14ac:dyDescent="0.3">
      <c r="C79" s="15"/>
    </row>
    <row r="80" spans="1:12" x14ac:dyDescent="0.3">
      <c r="B80" s="14" t="s">
        <v>114</v>
      </c>
    </row>
    <row r="81" spans="2:12" x14ac:dyDescent="0.3">
      <c r="B81" t="s">
        <v>93</v>
      </c>
      <c r="C81" s="15">
        <f>IFERROR('Cash Flow Data'!E14,0)</f>
        <v>-256</v>
      </c>
      <c r="D81" s="15">
        <f>IFERROR('Cash Flow Data'!F14,0)</f>
        <v>-305</v>
      </c>
      <c r="E81" s="15">
        <f>IFERROR('Cash Flow Data'!G14,0)</f>
        <v>-265</v>
      </c>
      <c r="F81" s="15">
        <f>IFERROR('Cash Flow Data'!H14,0)</f>
        <v>-355</v>
      </c>
      <c r="G81" s="15">
        <f>IFERROR('Cash Flow Data'!I14,0)</f>
        <v>-146</v>
      </c>
      <c r="H81" s="15">
        <f>IFERROR('Cash Flow Data'!J14,0)</f>
        <v>-224</v>
      </c>
      <c r="I81" s="15">
        <f>IFERROR('Cash Flow Data'!K14,0)</f>
        <v>-432</v>
      </c>
      <c r="J81" s="15">
        <f>IFERROR('Cash Flow Data'!L14,0)</f>
        <v>-691</v>
      </c>
      <c r="K81" s="15">
        <f>IFERROR('Cash Flow Data'!M14,0)</f>
        <v>-494</v>
      </c>
      <c r="L81" s="15">
        <f>IFERROR('Cash Flow Data'!N14,0)</f>
        <v>-902</v>
      </c>
    </row>
    <row r="82" spans="2:12" x14ac:dyDescent="0.3">
      <c r="B82" t="s">
        <v>94</v>
      </c>
      <c r="C82" s="15">
        <f>IFERROR('Cash Flow Data'!E15,0)</f>
        <v>5</v>
      </c>
      <c r="D82" s="15">
        <f>IFERROR('Cash Flow Data'!F15,0)</f>
        <v>6</v>
      </c>
      <c r="E82" s="15">
        <f>IFERROR('Cash Flow Data'!G15,0)</f>
        <v>1</v>
      </c>
      <c r="F82" s="15">
        <f>IFERROR('Cash Flow Data'!H15,0)</f>
        <v>10</v>
      </c>
      <c r="G82" s="15">
        <f>IFERROR('Cash Flow Data'!I15,0)</f>
        <v>7</v>
      </c>
      <c r="H82" s="15">
        <f>IFERROR('Cash Flow Data'!J15,0)</f>
        <v>8</v>
      </c>
      <c r="I82" s="15">
        <f>IFERROR('Cash Flow Data'!K15,0)</f>
        <v>12</v>
      </c>
      <c r="J82" s="15">
        <f>IFERROR('Cash Flow Data'!L15,0)</f>
        <v>20</v>
      </c>
      <c r="K82" s="15">
        <f>IFERROR('Cash Flow Data'!M15,0)</f>
        <v>24</v>
      </c>
      <c r="L82" s="15">
        <f>IFERROR('Cash Flow Data'!N15,0)</f>
        <v>25</v>
      </c>
    </row>
    <row r="83" spans="2:12" x14ac:dyDescent="0.3">
      <c r="B83" t="s">
        <v>95</v>
      </c>
      <c r="C83" s="15">
        <f>IFERROR('Cash Flow Data'!E16,0)</f>
        <v>-325</v>
      </c>
      <c r="D83" s="15">
        <f>IFERROR('Cash Flow Data'!F16,0)</f>
        <v>0</v>
      </c>
      <c r="E83" s="15">
        <f>IFERROR('Cash Flow Data'!G16,0)</f>
        <v>-36</v>
      </c>
      <c r="F83" s="15">
        <f>IFERROR('Cash Flow Data'!H16,0)</f>
        <v>-13</v>
      </c>
      <c r="G83" s="15">
        <f>IFERROR('Cash Flow Data'!I16,0)</f>
        <v>-2656</v>
      </c>
      <c r="H83" s="15">
        <f>IFERROR('Cash Flow Data'!J16,0)</f>
        <v>-253</v>
      </c>
      <c r="I83" s="15">
        <f>IFERROR('Cash Flow Data'!K16,0)</f>
        <v>-2104</v>
      </c>
      <c r="J83" s="15">
        <f>IFERROR('Cash Flow Data'!L16,0)</f>
        <v>-21893</v>
      </c>
      <c r="K83" s="15">
        <f>IFERROR('Cash Flow Data'!M16,0)</f>
        <v>-15342</v>
      </c>
      <c r="L83" s="15">
        <f>IFERROR('Cash Flow Data'!N16,0)</f>
        <v>-22035</v>
      </c>
    </row>
    <row r="84" spans="2:12" x14ac:dyDescent="0.3">
      <c r="B84" t="s">
        <v>96</v>
      </c>
      <c r="C84" s="15">
        <f>IFERROR('Cash Flow Data'!E17,0)</f>
        <v>0</v>
      </c>
      <c r="D84" s="15">
        <f>IFERROR('Cash Flow Data'!F17,0)</f>
        <v>412</v>
      </c>
      <c r="E84" s="15">
        <f>IFERROR('Cash Flow Data'!G17,0)</f>
        <v>18</v>
      </c>
      <c r="F84" s="15">
        <f>IFERROR('Cash Flow Data'!H17,0)</f>
        <v>0</v>
      </c>
      <c r="G84" s="15">
        <f>IFERROR('Cash Flow Data'!I17,0)</f>
        <v>43</v>
      </c>
      <c r="H84" s="15">
        <f>IFERROR('Cash Flow Data'!J17,0)</f>
        <v>2870</v>
      </c>
      <c r="I84" s="15">
        <f>IFERROR('Cash Flow Data'!K17,0)</f>
        <v>0</v>
      </c>
      <c r="J84" s="15">
        <f>IFERROR('Cash Flow Data'!L17,0)</f>
        <v>22213</v>
      </c>
      <c r="K84" s="15">
        <f>IFERROR('Cash Flow Data'!M17,0)</f>
        <v>15747</v>
      </c>
      <c r="L84" s="15">
        <f>IFERROR('Cash Flow Data'!N17,0)</f>
        <v>20797</v>
      </c>
    </row>
    <row r="85" spans="2:12" x14ac:dyDescent="0.3">
      <c r="B85" t="s">
        <v>97</v>
      </c>
      <c r="C85" s="15">
        <f>IFERROR('Cash Flow Data'!E18,0)</f>
        <v>41</v>
      </c>
      <c r="D85" s="15">
        <f>IFERROR('Cash Flow Data'!F18,0)</f>
        <v>64</v>
      </c>
      <c r="E85" s="15">
        <f>IFERROR('Cash Flow Data'!G18,0)</f>
        <v>85</v>
      </c>
      <c r="F85" s="15">
        <f>IFERROR('Cash Flow Data'!H18,0)</f>
        <v>73</v>
      </c>
      <c r="G85" s="15">
        <f>IFERROR('Cash Flow Data'!I18,0)</f>
        <v>49</v>
      </c>
      <c r="H85" s="15">
        <f>IFERROR('Cash Flow Data'!J18,0)</f>
        <v>56</v>
      </c>
      <c r="I85" s="15">
        <f>IFERROR('Cash Flow Data'!K18,0)</f>
        <v>143</v>
      </c>
      <c r="J85" s="15">
        <f>IFERROR('Cash Flow Data'!L18,0)</f>
        <v>249</v>
      </c>
      <c r="K85" s="15">
        <f>IFERROR('Cash Flow Data'!M18,0)</f>
        <v>288</v>
      </c>
      <c r="L85" s="15">
        <f>IFERROR('Cash Flow Data'!N18,0)</f>
        <v>227</v>
      </c>
    </row>
    <row r="86" spans="2:12" x14ac:dyDescent="0.3">
      <c r="B86" t="s">
        <v>98</v>
      </c>
      <c r="C86" s="15">
        <f>IFERROR('Cash Flow Data'!E19,0)</f>
        <v>0</v>
      </c>
      <c r="D86" s="15">
        <f>IFERROR('Cash Flow Data'!F19,0)</f>
        <v>0</v>
      </c>
      <c r="E86" s="15">
        <f>IFERROR('Cash Flow Data'!G19,0)</f>
        <v>0</v>
      </c>
      <c r="F86" s="15">
        <f>IFERROR('Cash Flow Data'!H19,0)</f>
        <v>-39</v>
      </c>
      <c r="G86" s="15">
        <f>IFERROR('Cash Flow Data'!I19,0)</f>
        <v>0</v>
      </c>
      <c r="H86" s="15">
        <f>IFERROR('Cash Flow Data'!J19,0)</f>
        <v>0</v>
      </c>
      <c r="I86" s="15">
        <f>IFERROR('Cash Flow Data'!K19,0)</f>
        <v>0</v>
      </c>
      <c r="J86" s="15">
        <f>IFERROR('Cash Flow Data'!L19,0)</f>
        <v>0</v>
      </c>
      <c r="K86" s="15">
        <f>IFERROR('Cash Flow Data'!M19,0)</f>
        <v>0</v>
      </c>
      <c r="L86" s="15">
        <f>IFERROR('Cash Flow Data'!N19,0)</f>
        <v>0</v>
      </c>
    </row>
    <row r="87" spans="2:12" x14ac:dyDescent="0.3">
      <c r="B87" t="s">
        <v>99</v>
      </c>
      <c r="C87" s="15">
        <f>IFERROR('Cash Flow Data'!E20,0)</f>
        <v>0</v>
      </c>
      <c r="D87" s="15">
        <f>IFERROR('Cash Flow Data'!F20,0)</f>
        <v>0</v>
      </c>
      <c r="E87" s="15">
        <f>IFERROR('Cash Flow Data'!G20,0)</f>
        <v>0</v>
      </c>
      <c r="F87" s="15">
        <f>IFERROR('Cash Flow Data'!H20,0)</f>
        <v>0</v>
      </c>
      <c r="G87" s="15">
        <f>IFERROR('Cash Flow Data'!I20,0)</f>
        <v>0</v>
      </c>
      <c r="H87" s="15">
        <f>IFERROR('Cash Flow Data'!J20,0)</f>
        <v>0</v>
      </c>
      <c r="I87" s="15">
        <f>IFERROR('Cash Flow Data'!K20,0)</f>
        <v>0</v>
      </c>
      <c r="J87" s="15">
        <f>IFERROR('Cash Flow Data'!L20,0)</f>
        <v>0</v>
      </c>
      <c r="K87" s="15">
        <f>IFERROR('Cash Flow Data'!M20,0)</f>
        <v>0</v>
      </c>
      <c r="L87" s="15">
        <f>IFERROR('Cash Flow Data'!N20,0)</f>
        <v>0</v>
      </c>
    </row>
    <row r="88" spans="2:12" x14ac:dyDescent="0.3">
      <c r="B88" t="s">
        <v>100</v>
      </c>
      <c r="C88" s="15">
        <f>IFERROR('Cash Flow Data'!E21,0)</f>
        <v>-385</v>
      </c>
      <c r="D88" s="15">
        <f>IFERROR('Cash Flow Data'!F21,0)</f>
        <v>0</v>
      </c>
      <c r="E88" s="15">
        <f>IFERROR('Cash Flow Data'!G21,0)</f>
        <v>0</v>
      </c>
      <c r="F88" s="15">
        <f>IFERROR('Cash Flow Data'!H21,0)</f>
        <v>0</v>
      </c>
      <c r="G88" s="15">
        <f>IFERROR('Cash Flow Data'!I21,0)</f>
        <v>0</v>
      </c>
      <c r="H88" s="15">
        <f>IFERROR('Cash Flow Data'!J21,0)</f>
        <v>0</v>
      </c>
      <c r="I88" s="15">
        <f>IFERROR('Cash Flow Data'!K21,0)</f>
        <v>0</v>
      </c>
      <c r="J88" s="15">
        <f>IFERROR('Cash Flow Data'!L21,0)</f>
        <v>0</v>
      </c>
      <c r="K88" s="15">
        <f>IFERROR('Cash Flow Data'!M21,0)</f>
        <v>0</v>
      </c>
      <c r="L88" s="15">
        <f>IFERROR('Cash Flow Data'!N21,0)</f>
        <v>0</v>
      </c>
    </row>
    <row r="89" spans="2:12" x14ac:dyDescent="0.3">
      <c r="B89" t="s">
        <v>101</v>
      </c>
      <c r="C89" s="15">
        <f>IFERROR('Cash Flow Data'!E22,0)</f>
        <v>5</v>
      </c>
      <c r="D89" s="15">
        <f>IFERROR('Cash Flow Data'!F22,0)</f>
        <v>-35</v>
      </c>
      <c r="E89" s="15">
        <f>IFERROR('Cash Flow Data'!G22,0)</f>
        <v>-115</v>
      </c>
      <c r="F89" s="15">
        <f>IFERROR('Cash Flow Data'!H22,0)</f>
        <v>200</v>
      </c>
      <c r="G89" s="15">
        <f>IFERROR('Cash Flow Data'!I22,0)</f>
        <v>-50</v>
      </c>
      <c r="H89" s="15">
        <f>IFERROR('Cash Flow Data'!J22,0)</f>
        <v>-344</v>
      </c>
      <c r="I89" s="15">
        <f>IFERROR('Cash Flow Data'!K22,0)</f>
        <v>294</v>
      </c>
      <c r="J89" s="15">
        <f>IFERROR('Cash Flow Data'!L22,0)</f>
        <v>-143</v>
      </c>
      <c r="K89" s="15">
        <f>IFERROR('Cash Flow Data'!M22,0)</f>
        <v>243</v>
      </c>
      <c r="L89" s="15">
        <f>IFERROR('Cash Flow Data'!N22,0)</f>
        <v>0</v>
      </c>
    </row>
    <row r="90" spans="2:12" x14ac:dyDescent="0.3">
      <c r="B90" t="s">
        <v>102</v>
      </c>
      <c r="C90" s="15">
        <f>IFERROR('Cash Flow Data'!E23,0)</f>
        <v>-38</v>
      </c>
      <c r="D90" s="15">
        <f>IFERROR('Cash Flow Data'!F23,0)</f>
        <v>-43</v>
      </c>
      <c r="E90" s="15">
        <f>IFERROR('Cash Flow Data'!G23,0)</f>
        <v>-485</v>
      </c>
      <c r="F90" s="15">
        <f>IFERROR('Cash Flow Data'!H23,0)</f>
        <v>359</v>
      </c>
      <c r="G90" s="15">
        <f>IFERROR('Cash Flow Data'!I23,0)</f>
        <v>-46</v>
      </c>
      <c r="H90" s="15">
        <f>IFERROR('Cash Flow Data'!J23,0)</f>
        <v>-948</v>
      </c>
      <c r="I90" s="15">
        <f>IFERROR('Cash Flow Data'!K23,0)</f>
        <v>273</v>
      </c>
      <c r="J90" s="15">
        <f>IFERROR('Cash Flow Data'!L23,0)</f>
        <v>56</v>
      </c>
      <c r="K90" s="15">
        <f>IFERROR('Cash Flow Data'!M23,0)</f>
        <v>80</v>
      </c>
      <c r="L90" s="15">
        <f>IFERROR('Cash Flow Data'!N23,0)</f>
        <v>-1077</v>
      </c>
    </row>
    <row r="91" spans="2:12" x14ac:dyDescent="0.3">
      <c r="B91" s="14" t="s">
        <v>115</v>
      </c>
      <c r="C91" s="26">
        <f t="shared" ref="C91:L91" si="23">SUM(C81:C90)</f>
        <v>-953</v>
      </c>
      <c r="D91" s="26">
        <f t="shared" si="23"/>
        <v>99</v>
      </c>
      <c r="E91" s="26">
        <f t="shared" si="23"/>
        <v>-797</v>
      </c>
      <c r="F91" s="26">
        <f t="shared" si="23"/>
        <v>235</v>
      </c>
      <c r="G91" s="26">
        <f t="shared" si="23"/>
        <v>-2799</v>
      </c>
      <c r="H91" s="26">
        <f t="shared" si="23"/>
        <v>1165</v>
      </c>
      <c r="I91" s="26">
        <f t="shared" si="23"/>
        <v>-1814</v>
      </c>
      <c r="J91" s="26">
        <f t="shared" si="23"/>
        <v>-189</v>
      </c>
      <c r="K91" s="26">
        <f t="shared" si="23"/>
        <v>546</v>
      </c>
      <c r="L91" s="26">
        <f t="shared" si="23"/>
        <v>-2965</v>
      </c>
    </row>
    <row r="93" spans="2:12" x14ac:dyDescent="0.3">
      <c r="B93" s="14" t="s">
        <v>116</v>
      </c>
    </row>
    <row r="94" spans="2:12" x14ac:dyDescent="0.3">
      <c r="B94" t="s">
        <v>103</v>
      </c>
      <c r="C94" s="15">
        <f>IFERROR('Cash Flow Data'!E25,0)</f>
        <v>0</v>
      </c>
      <c r="D94" s="15">
        <f>IFERROR('Cash Flow Data'!F25,0)</f>
        <v>0</v>
      </c>
      <c r="E94" s="15">
        <f>IFERROR('Cash Flow Data'!G25,0)</f>
        <v>0</v>
      </c>
      <c r="F94" s="15">
        <f>IFERROR('Cash Flow Data'!H25,0)</f>
        <v>693</v>
      </c>
      <c r="G94" s="15">
        <f>IFERROR('Cash Flow Data'!I25,0)</f>
        <v>0</v>
      </c>
      <c r="H94" s="15">
        <f>IFERROR('Cash Flow Data'!J25,0)</f>
        <v>349</v>
      </c>
      <c r="I94" s="15">
        <f>IFERROR('Cash Flow Data'!K25,0)</f>
        <v>1684</v>
      </c>
      <c r="J94" s="15">
        <f>IFERROR('Cash Flow Data'!L25,0)</f>
        <v>5629</v>
      </c>
      <c r="K94" s="15">
        <f>IFERROR('Cash Flow Data'!M25,0)</f>
        <v>2599</v>
      </c>
      <c r="L94" s="15">
        <f>IFERROR('Cash Flow Data'!N25,0)</f>
        <v>3314</v>
      </c>
    </row>
    <row r="95" spans="2:12" x14ac:dyDescent="0.3">
      <c r="B95" t="s">
        <v>104</v>
      </c>
      <c r="C95" s="15">
        <f>IFERROR('Cash Flow Data'!E26,0)</f>
        <v>0</v>
      </c>
      <c r="D95" s="15">
        <f>IFERROR('Cash Flow Data'!F26,0)</f>
        <v>0</v>
      </c>
      <c r="E95" s="15">
        <f>IFERROR('Cash Flow Data'!G26,0)</f>
        <v>-39</v>
      </c>
      <c r="F95" s="15">
        <f>IFERROR('Cash Flow Data'!H26,0)</f>
        <v>0</v>
      </c>
      <c r="G95" s="15">
        <f>IFERROR('Cash Flow Data'!I26,0)</f>
        <v>-562</v>
      </c>
      <c r="H95" s="15">
        <f>IFERROR('Cash Flow Data'!J26,0)</f>
        <v>-7</v>
      </c>
      <c r="I95" s="15">
        <f>IFERROR('Cash Flow Data'!K26,0)</f>
        <v>-7</v>
      </c>
      <c r="J95" s="15">
        <f>IFERROR('Cash Flow Data'!L26,0)</f>
        <v>0</v>
      </c>
      <c r="K95" s="15">
        <f>IFERROR('Cash Flow Data'!M26,0)</f>
        <v>-378</v>
      </c>
      <c r="L95" s="15">
        <f>IFERROR('Cash Flow Data'!N26,0)</f>
        <v>-2632</v>
      </c>
    </row>
    <row r="96" spans="2:12" x14ac:dyDescent="0.3">
      <c r="B96" t="s">
        <v>105</v>
      </c>
      <c r="C96" s="15">
        <f>IFERROR('Cash Flow Data'!E27,0)</f>
        <v>-38</v>
      </c>
      <c r="D96" s="15">
        <f>IFERROR('Cash Flow Data'!F27,0)</f>
        <v>-54</v>
      </c>
      <c r="E96" s="15">
        <f>IFERROR('Cash Flow Data'!G27,0)</f>
        <v>-53</v>
      </c>
      <c r="F96" s="15">
        <f>IFERROR('Cash Flow Data'!H27,0)</f>
        <v>-399</v>
      </c>
      <c r="G96" s="15">
        <f>IFERROR('Cash Flow Data'!I27,0)</f>
        <v>-317</v>
      </c>
      <c r="H96" s="15">
        <f>IFERROR('Cash Flow Data'!J27,0)</f>
        <v>-218</v>
      </c>
      <c r="I96" s="15">
        <f>IFERROR('Cash Flow Data'!K27,0)</f>
        <v>-300</v>
      </c>
      <c r="J96" s="15">
        <f>IFERROR('Cash Flow Data'!L27,0)</f>
        <v>-619</v>
      </c>
      <c r="K96" s="15">
        <f>IFERROR('Cash Flow Data'!M27,0)</f>
        <v>-538</v>
      </c>
      <c r="L96" s="15">
        <f>IFERROR('Cash Flow Data'!N27,0)</f>
        <v>-1000</v>
      </c>
    </row>
    <row r="97" spans="2:12" x14ac:dyDescent="0.3">
      <c r="B97" t="s">
        <v>106</v>
      </c>
      <c r="C97" s="15">
        <f>IFERROR('Cash Flow Data'!E28,0)</f>
        <v>-4</v>
      </c>
      <c r="D97" s="15">
        <f>IFERROR('Cash Flow Data'!F28,0)</f>
        <v>-277</v>
      </c>
      <c r="E97" s="15">
        <f>IFERROR('Cash Flow Data'!G28,0)</f>
        <v>-397</v>
      </c>
      <c r="F97" s="15">
        <f>IFERROR('Cash Flow Data'!H28,0)</f>
        <v>-536</v>
      </c>
      <c r="G97" s="15">
        <f>IFERROR('Cash Flow Data'!I28,0)</f>
        <v>-355</v>
      </c>
      <c r="H97" s="15">
        <f>IFERROR('Cash Flow Data'!J28,0)</f>
        <v>-355</v>
      </c>
      <c r="I97" s="15">
        <f>IFERROR('Cash Flow Data'!K28,0)</f>
        <v>-666</v>
      </c>
      <c r="J97" s="15">
        <f>IFERROR('Cash Flow Data'!L28,0)</f>
        <v>-888</v>
      </c>
      <c r="K97" s="15">
        <f>IFERROR('Cash Flow Data'!M28,0)</f>
        <v>-976</v>
      </c>
      <c r="L97" s="15">
        <f>IFERROR('Cash Flow Data'!N28,0)</f>
        <v>-976</v>
      </c>
    </row>
    <row r="98" spans="2:12" x14ac:dyDescent="0.3">
      <c r="B98" t="s">
        <v>107</v>
      </c>
      <c r="C98" s="15">
        <f>IFERROR('Cash Flow Data'!E29,0)</f>
        <v>0</v>
      </c>
      <c r="D98" s="15">
        <f>IFERROR('Cash Flow Data'!F29,0)</f>
        <v>0</v>
      </c>
      <c r="E98" s="15">
        <f>IFERROR('Cash Flow Data'!G29,0)</f>
        <v>0</v>
      </c>
      <c r="F98" s="15">
        <f>IFERROR('Cash Flow Data'!H29,0)</f>
        <v>0</v>
      </c>
      <c r="G98" s="15">
        <f>IFERROR('Cash Flow Data'!I29,0)</f>
        <v>0</v>
      </c>
      <c r="H98" s="15">
        <f>IFERROR('Cash Flow Data'!J29,0)</f>
        <v>-172</v>
      </c>
      <c r="I98" s="15">
        <f>IFERROR('Cash Flow Data'!K29,0)</f>
        <v>-254</v>
      </c>
      <c r="J98" s="15">
        <f>IFERROR('Cash Flow Data'!L29,0)</f>
        <v>-318</v>
      </c>
      <c r="K98" s="15">
        <f>IFERROR('Cash Flow Data'!M29,0)</f>
        <v>-700</v>
      </c>
      <c r="L98" s="15">
        <f>IFERROR('Cash Flow Data'!N29,0)</f>
        <v>-865</v>
      </c>
    </row>
    <row r="99" spans="2:12" x14ac:dyDescent="0.3">
      <c r="B99" t="s">
        <v>108</v>
      </c>
      <c r="C99" s="15">
        <f>IFERROR('Cash Flow Data'!E30,0)</f>
        <v>-124</v>
      </c>
      <c r="D99" s="15">
        <f>IFERROR('Cash Flow Data'!F30,0)</f>
        <v>79</v>
      </c>
      <c r="E99" s="15">
        <f>IFERROR('Cash Flow Data'!G30,0)</f>
        <v>0</v>
      </c>
      <c r="F99" s="15">
        <f>IFERROR('Cash Flow Data'!H30,0)</f>
        <v>0</v>
      </c>
      <c r="G99" s="15">
        <f>IFERROR('Cash Flow Data'!I30,0)</f>
        <v>0</v>
      </c>
      <c r="H99" s="15">
        <f>IFERROR('Cash Flow Data'!J30,0)</f>
        <v>0</v>
      </c>
      <c r="I99" s="15">
        <f>IFERROR('Cash Flow Data'!K30,0)</f>
        <v>0</v>
      </c>
      <c r="J99" s="15">
        <f>IFERROR('Cash Flow Data'!L30,0)</f>
        <v>-5133</v>
      </c>
      <c r="K99" s="15">
        <f>IFERROR('Cash Flow Data'!M30,0)</f>
        <v>-14</v>
      </c>
      <c r="L99" s="15">
        <f>IFERROR('Cash Flow Data'!N30,0)</f>
        <v>0</v>
      </c>
    </row>
    <row r="100" spans="2:12" x14ac:dyDescent="0.3">
      <c r="B100" s="14" t="s">
        <v>117</v>
      </c>
      <c r="C100" s="26">
        <f t="shared" ref="C100:L100" si="24">SUM(C94:C99)</f>
        <v>-166</v>
      </c>
      <c r="D100" s="26">
        <f t="shared" si="24"/>
        <v>-252</v>
      </c>
      <c r="E100" s="26">
        <f t="shared" si="24"/>
        <v>-489</v>
      </c>
      <c r="F100" s="26">
        <f t="shared" si="24"/>
        <v>-242</v>
      </c>
      <c r="G100" s="26">
        <f t="shared" si="24"/>
        <v>-1234</v>
      </c>
      <c r="H100" s="26">
        <f t="shared" si="24"/>
        <v>-403</v>
      </c>
      <c r="I100" s="26">
        <f t="shared" si="24"/>
        <v>457</v>
      </c>
      <c r="J100" s="26">
        <f t="shared" si="24"/>
        <v>-1329</v>
      </c>
      <c r="K100" s="26">
        <f t="shared" si="24"/>
        <v>-7</v>
      </c>
      <c r="L100" s="26">
        <f t="shared" si="24"/>
        <v>-2159</v>
      </c>
    </row>
    <row r="102" spans="2:12" x14ac:dyDescent="0.3">
      <c r="B102" s="14" t="s">
        <v>52</v>
      </c>
      <c r="C102" s="26">
        <f>IFERROR(C78+C91+C100,0)</f>
        <v>593</v>
      </c>
      <c r="D102" s="26">
        <f t="shared" ref="D102:L102" si="25">IFERROR(D78+D91+D100,0)</f>
        <v>-203</v>
      </c>
      <c r="E102" s="26">
        <f t="shared" si="25"/>
        <v>-43</v>
      </c>
      <c r="F102" s="26">
        <f t="shared" si="25"/>
        <v>-355</v>
      </c>
      <c r="G102" s="26">
        <f t="shared" si="25"/>
        <v>106</v>
      </c>
      <c r="H102" s="26">
        <f t="shared" si="25"/>
        <v>38</v>
      </c>
      <c r="I102" s="26">
        <f t="shared" si="25"/>
        <v>13</v>
      </c>
      <c r="J102" s="26">
        <f t="shared" si="25"/>
        <v>177</v>
      </c>
      <c r="K102" s="26">
        <f t="shared" si="25"/>
        <v>-2</v>
      </c>
      <c r="L102" s="26">
        <f t="shared" si="25"/>
        <v>466</v>
      </c>
    </row>
  </sheetData>
  <mergeCells count="1">
    <mergeCell ref="B2:L2"/>
  </mergeCells>
  <pageMargins left="0.7" right="0.7" top="0.75" bottom="0.75" header="0.3" footer="0.3"/>
  <pageSetup orientation="portrait" r:id="rId1"/>
  <ignoredErrors>
    <ignoredError sqref="C15:L15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DEAB5-1258-49C9-9C0B-A8027D874526}">
  <sheetPr>
    <tabColor theme="8" tint="-0.499984740745262"/>
  </sheetPr>
  <dimension ref="A1"/>
  <sheetViews>
    <sheetView workbookViewId="0">
      <selection activeCell="F26" sqref="F26"/>
    </sheetView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5331A-BDD7-4BA4-B330-A42F092009EB}">
  <dimension ref="B2:N35"/>
  <sheetViews>
    <sheetView workbookViewId="0">
      <selection activeCell="B13" sqref="B13"/>
    </sheetView>
  </sheetViews>
  <sheetFormatPr defaultRowHeight="14.4" x14ac:dyDescent="0.3"/>
  <cols>
    <col min="2" max="2" width="28" bestFit="1" customWidth="1"/>
    <col min="3" max="14" width="7.33203125" bestFit="1" customWidth="1"/>
  </cols>
  <sheetData>
    <row r="2" spans="2:14" x14ac:dyDescent="0.3">
      <c r="C2" s="11">
        <v>42064</v>
      </c>
      <c r="D2" s="11">
        <v>42430</v>
      </c>
      <c r="E2" s="11">
        <v>42795</v>
      </c>
      <c r="F2" s="11">
        <v>43160</v>
      </c>
      <c r="G2" s="11">
        <v>43525</v>
      </c>
      <c r="H2" s="11">
        <v>43891</v>
      </c>
      <c r="I2" s="11">
        <v>44256</v>
      </c>
      <c r="J2" s="11">
        <v>44621</v>
      </c>
      <c r="K2" s="11">
        <v>44986</v>
      </c>
      <c r="L2" s="11">
        <v>45352</v>
      </c>
      <c r="M2" s="11">
        <v>45717</v>
      </c>
      <c r="N2" s="11">
        <v>46082</v>
      </c>
    </row>
    <row r="3" spans="2:14" x14ac:dyDescent="0.3">
      <c r="B3" t="s">
        <v>109</v>
      </c>
      <c r="C3" s="27">
        <v>503</v>
      </c>
      <c r="D3" s="27">
        <v>576</v>
      </c>
      <c r="E3" s="27">
        <v>1712</v>
      </c>
      <c r="F3" s="27">
        <v>-51</v>
      </c>
      <c r="G3" s="27">
        <v>1243</v>
      </c>
      <c r="H3" s="27">
        <v>-348</v>
      </c>
      <c r="I3" s="27">
        <v>4139</v>
      </c>
      <c r="J3" s="27">
        <v>-724</v>
      </c>
      <c r="K3" s="27">
        <v>1370</v>
      </c>
      <c r="L3" s="27">
        <v>1695</v>
      </c>
      <c r="M3" s="27">
        <v>-541</v>
      </c>
      <c r="N3" s="27">
        <v>5590</v>
      </c>
    </row>
    <row r="4" spans="2:14" x14ac:dyDescent="0.3">
      <c r="B4" t="s">
        <v>87</v>
      </c>
      <c r="C4" s="27">
        <v>1163</v>
      </c>
      <c r="D4" s="27">
        <v>942</v>
      </c>
      <c r="E4" s="27">
        <v>1073</v>
      </c>
      <c r="F4" s="27">
        <v>1642</v>
      </c>
      <c r="G4" s="27">
        <v>2183</v>
      </c>
      <c r="H4" s="27">
        <v>2481</v>
      </c>
      <c r="I4" s="27">
        <v>1789</v>
      </c>
      <c r="J4" s="27">
        <v>3298</v>
      </c>
      <c r="K4" s="27">
        <v>4937</v>
      </c>
      <c r="L4" s="27">
        <v>5404</v>
      </c>
      <c r="M4" s="27">
        <v>5774</v>
      </c>
      <c r="N4" s="27">
        <v>8447</v>
      </c>
    </row>
    <row r="5" spans="2:14" x14ac:dyDescent="0.3">
      <c r="B5" t="s">
        <v>42</v>
      </c>
      <c r="C5" s="27">
        <v>-39</v>
      </c>
      <c r="D5" s="27">
        <v>0</v>
      </c>
      <c r="E5" s="27">
        <v>-12</v>
      </c>
      <c r="F5">
        <v>-90</v>
      </c>
      <c r="G5" s="27">
        <v>-139</v>
      </c>
      <c r="H5" s="27">
        <v>109</v>
      </c>
      <c r="I5" s="27">
        <v>-59</v>
      </c>
      <c r="J5" s="27">
        <v>-207</v>
      </c>
      <c r="K5" s="27">
        <v>-112</v>
      </c>
      <c r="L5" s="27">
        <v>-348</v>
      </c>
      <c r="M5" s="27">
        <v>-95</v>
      </c>
      <c r="N5">
        <v>210</v>
      </c>
    </row>
    <row r="6" spans="2:14" x14ac:dyDescent="0.3">
      <c r="B6" t="s">
        <v>43</v>
      </c>
      <c r="C6" s="27">
        <v>-180</v>
      </c>
      <c r="D6" s="27">
        <v>-398</v>
      </c>
      <c r="E6" s="27">
        <v>-448</v>
      </c>
      <c r="F6" s="27">
        <v>-996</v>
      </c>
      <c r="G6" s="27">
        <v>-1120</v>
      </c>
      <c r="H6" s="27">
        <v>-1057</v>
      </c>
      <c r="I6" s="27">
        <v>-316</v>
      </c>
      <c r="J6" s="27">
        <v>-5199</v>
      </c>
      <c r="K6" s="27">
        <v>-2977</v>
      </c>
      <c r="L6" s="27">
        <v>-2462</v>
      </c>
      <c r="M6" s="27">
        <v>-9072</v>
      </c>
      <c r="N6" s="27">
        <v>-11592</v>
      </c>
    </row>
    <row r="7" spans="2:14" x14ac:dyDescent="0.3">
      <c r="B7" t="s">
        <v>88</v>
      </c>
      <c r="C7" s="27">
        <v>1079</v>
      </c>
      <c r="D7" s="27">
        <v>-245</v>
      </c>
      <c r="E7" s="27">
        <v>238</v>
      </c>
      <c r="F7" s="27">
        <v>95</v>
      </c>
      <c r="G7" s="27">
        <v>32</v>
      </c>
      <c r="H7" s="27">
        <v>-310</v>
      </c>
      <c r="I7" s="27">
        <v>195</v>
      </c>
      <c r="J7" s="27">
        <v>504</v>
      </c>
      <c r="K7" s="27">
        <v>-89</v>
      </c>
      <c r="L7" s="27">
        <v>196</v>
      </c>
      <c r="M7" s="27">
        <v>564</v>
      </c>
      <c r="N7" s="27">
        <v>472</v>
      </c>
    </row>
    <row r="8" spans="2:14" x14ac:dyDescent="0.3">
      <c r="B8" t="s">
        <v>89</v>
      </c>
      <c r="C8">
        <v>-71</v>
      </c>
      <c r="D8">
        <v>-66</v>
      </c>
      <c r="E8">
        <v>0</v>
      </c>
      <c r="F8">
        <v>3</v>
      </c>
      <c r="G8">
        <v>-24</v>
      </c>
      <c r="H8">
        <v>-20</v>
      </c>
      <c r="I8">
        <v>-8</v>
      </c>
      <c r="J8">
        <v>-3</v>
      </c>
      <c r="K8">
        <v>-18</v>
      </c>
      <c r="L8">
        <v>-21</v>
      </c>
      <c r="M8">
        <v>4</v>
      </c>
      <c r="N8">
        <v>-8</v>
      </c>
    </row>
    <row r="9" spans="2:14" x14ac:dyDescent="0.3">
      <c r="B9" t="s">
        <v>118</v>
      </c>
      <c r="C9">
        <v>0</v>
      </c>
      <c r="D9" s="27">
        <v>0</v>
      </c>
      <c r="E9">
        <v>763</v>
      </c>
      <c r="F9" s="27">
        <v>-270</v>
      </c>
      <c r="G9">
        <v>741</v>
      </c>
      <c r="H9" s="27">
        <v>-768</v>
      </c>
      <c r="I9" s="27">
        <v>2625</v>
      </c>
      <c r="J9" s="27">
        <v>1188</v>
      </c>
      <c r="K9" s="27">
        <v>-99</v>
      </c>
      <c r="L9">
        <v>42</v>
      </c>
      <c r="M9" s="27">
        <v>2468</v>
      </c>
      <c r="N9" s="27">
        <v>7304</v>
      </c>
    </row>
    <row r="10" spans="2:14" x14ac:dyDescent="0.3">
      <c r="B10" t="s">
        <v>90</v>
      </c>
      <c r="C10" s="27">
        <v>-1204</v>
      </c>
      <c r="D10" s="27">
        <v>545</v>
      </c>
      <c r="E10">
        <v>375</v>
      </c>
      <c r="F10" s="27">
        <v>22</v>
      </c>
      <c r="G10" s="27">
        <v>206</v>
      </c>
      <c r="H10" s="27">
        <v>-226</v>
      </c>
      <c r="I10" s="27">
        <v>184</v>
      </c>
      <c r="J10" s="27">
        <v>497</v>
      </c>
      <c r="K10" s="27">
        <v>882</v>
      </c>
      <c r="L10" s="27">
        <v>57</v>
      </c>
      <c r="M10">
        <v>905</v>
      </c>
      <c r="N10" s="27">
        <v>2494</v>
      </c>
    </row>
    <row r="11" spans="2:14" x14ac:dyDescent="0.3">
      <c r="B11" t="s">
        <v>91</v>
      </c>
      <c r="C11" s="27">
        <v>-415</v>
      </c>
      <c r="D11" s="27">
        <v>-163</v>
      </c>
      <c r="E11" s="27">
        <v>916</v>
      </c>
      <c r="F11" s="27">
        <v>-1237</v>
      </c>
      <c r="G11" s="27">
        <v>-304</v>
      </c>
      <c r="H11" s="27">
        <v>-2272</v>
      </c>
      <c r="I11" s="27">
        <v>2621</v>
      </c>
      <c r="J11" s="27">
        <v>-3220</v>
      </c>
      <c r="K11" s="27">
        <v>-2413</v>
      </c>
      <c r="L11" s="27">
        <v>-2536</v>
      </c>
      <c r="M11" s="27">
        <v>-5226</v>
      </c>
      <c r="N11" s="27">
        <v>-1120</v>
      </c>
    </row>
    <row r="12" spans="2:14" x14ac:dyDescent="0.3">
      <c r="B12" t="s">
        <v>92</v>
      </c>
      <c r="C12" s="27">
        <v>-245</v>
      </c>
      <c r="D12" s="27">
        <v>-202</v>
      </c>
      <c r="E12" s="27">
        <v>-277</v>
      </c>
      <c r="F12" s="27">
        <v>-456</v>
      </c>
      <c r="G12" s="27">
        <v>-636</v>
      </c>
      <c r="H12" s="27">
        <v>-557</v>
      </c>
      <c r="I12" s="27">
        <v>-271</v>
      </c>
      <c r="J12" s="27">
        <v>-802</v>
      </c>
      <c r="K12" s="27">
        <v>-1154</v>
      </c>
      <c r="L12" s="27">
        <v>-1173</v>
      </c>
      <c r="M12" s="27">
        <v>-1089</v>
      </c>
      <c r="N12" s="27">
        <v>-1737</v>
      </c>
    </row>
    <row r="13" spans="2:14" x14ac:dyDescent="0.3">
      <c r="B13" t="s">
        <v>110</v>
      </c>
      <c r="C13" s="27">
        <v>-118</v>
      </c>
      <c r="D13" s="27">
        <v>-159</v>
      </c>
      <c r="E13" s="27">
        <v>-953</v>
      </c>
      <c r="F13" s="27">
        <v>98</v>
      </c>
      <c r="G13" s="27">
        <v>-797</v>
      </c>
      <c r="H13" s="27">
        <v>235</v>
      </c>
      <c r="I13" s="27">
        <v>-2799</v>
      </c>
      <c r="J13" s="27">
        <v>1165</v>
      </c>
      <c r="K13" s="27">
        <v>-1814</v>
      </c>
      <c r="L13" s="27">
        <v>-189</v>
      </c>
      <c r="M13" s="27">
        <v>546</v>
      </c>
      <c r="N13" s="27">
        <v>-2965</v>
      </c>
    </row>
    <row r="14" spans="2:14" x14ac:dyDescent="0.3">
      <c r="B14" t="s">
        <v>93</v>
      </c>
      <c r="C14">
        <v>-209</v>
      </c>
      <c r="D14">
        <v>-254</v>
      </c>
      <c r="E14">
        <v>-256</v>
      </c>
      <c r="F14">
        <v>-305</v>
      </c>
      <c r="G14">
        <v>-265</v>
      </c>
      <c r="H14">
        <v>-355</v>
      </c>
      <c r="I14">
        <v>-146</v>
      </c>
      <c r="J14">
        <v>-224</v>
      </c>
      <c r="K14">
        <v>-432</v>
      </c>
      <c r="L14">
        <v>-691</v>
      </c>
      <c r="M14">
        <v>-494</v>
      </c>
      <c r="N14">
        <v>-902</v>
      </c>
    </row>
    <row r="15" spans="2:14" x14ac:dyDescent="0.3">
      <c r="B15" t="s">
        <v>94</v>
      </c>
      <c r="C15">
        <v>2</v>
      </c>
      <c r="D15" s="27">
        <v>2</v>
      </c>
      <c r="E15">
        <v>5</v>
      </c>
      <c r="F15">
        <v>6</v>
      </c>
      <c r="G15" s="27">
        <v>1</v>
      </c>
      <c r="H15" s="27">
        <v>10</v>
      </c>
      <c r="I15">
        <v>7</v>
      </c>
      <c r="J15">
        <v>8</v>
      </c>
      <c r="K15">
        <v>12</v>
      </c>
      <c r="L15" s="27">
        <v>20</v>
      </c>
      <c r="M15" s="27">
        <v>24</v>
      </c>
      <c r="N15" s="27">
        <v>25</v>
      </c>
    </row>
    <row r="16" spans="2:14" x14ac:dyDescent="0.3">
      <c r="B16" t="s">
        <v>95</v>
      </c>
      <c r="C16">
        <v>-135</v>
      </c>
      <c r="D16" s="27">
        <v>-1078</v>
      </c>
      <c r="E16">
        <v>-325</v>
      </c>
      <c r="F16">
        <v>0</v>
      </c>
      <c r="G16">
        <v>-36</v>
      </c>
      <c r="H16">
        <v>-13</v>
      </c>
      <c r="I16" s="27">
        <v>-2656</v>
      </c>
      <c r="J16" s="27">
        <v>-253</v>
      </c>
      <c r="K16" s="27">
        <v>-2104</v>
      </c>
      <c r="L16" s="27">
        <v>-21893</v>
      </c>
      <c r="M16" s="27">
        <v>-15342</v>
      </c>
      <c r="N16" s="27">
        <v>-22035</v>
      </c>
    </row>
    <row r="17" spans="2:14" x14ac:dyDescent="0.3">
      <c r="B17" t="s">
        <v>96</v>
      </c>
      <c r="C17">
        <v>135</v>
      </c>
      <c r="D17" s="27">
        <v>1083</v>
      </c>
      <c r="E17">
        <v>0</v>
      </c>
      <c r="F17">
        <v>412</v>
      </c>
      <c r="G17">
        <v>18</v>
      </c>
      <c r="H17">
        <v>0</v>
      </c>
      <c r="I17">
        <v>43</v>
      </c>
      <c r="J17" s="27">
        <v>2870</v>
      </c>
      <c r="K17">
        <v>0</v>
      </c>
      <c r="L17" s="27">
        <v>22213</v>
      </c>
      <c r="M17" s="27">
        <v>15747</v>
      </c>
      <c r="N17" s="27">
        <v>20797</v>
      </c>
    </row>
    <row r="18" spans="2:14" x14ac:dyDescent="0.3">
      <c r="B18" t="s">
        <v>97</v>
      </c>
      <c r="C18">
        <v>77</v>
      </c>
      <c r="D18">
        <v>58</v>
      </c>
      <c r="E18">
        <v>41</v>
      </c>
      <c r="F18">
        <v>64</v>
      </c>
      <c r="G18">
        <v>85</v>
      </c>
      <c r="H18">
        <v>73</v>
      </c>
      <c r="I18">
        <v>49</v>
      </c>
      <c r="J18" s="27">
        <v>56</v>
      </c>
      <c r="K18">
        <v>143</v>
      </c>
      <c r="L18">
        <v>249</v>
      </c>
      <c r="M18">
        <v>288</v>
      </c>
      <c r="N18">
        <v>227</v>
      </c>
    </row>
    <row r="19" spans="2:14" x14ac:dyDescent="0.3">
      <c r="B19" t="s">
        <v>98</v>
      </c>
      <c r="C19">
        <v>0</v>
      </c>
      <c r="D19">
        <v>0</v>
      </c>
      <c r="E19">
        <v>0</v>
      </c>
      <c r="F19">
        <v>0</v>
      </c>
      <c r="G19">
        <v>0</v>
      </c>
      <c r="H19">
        <v>-39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2:14" x14ac:dyDescent="0.3">
      <c r="B20" t="s">
        <v>99</v>
      </c>
      <c r="C20">
        <v>0</v>
      </c>
      <c r="D20">
        <v>-18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100</v>
      </c>
      <c r="C21">
        <v>0</v>
      </c>
      <c r="D21">
        <v>0</v>
      </c>
      <c r="E21">
        <v>-385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 spans="2:14" x14ac:dyDescent="0.3">
      <c r="B22" t="s">
        <v>101</v>
      </c>
      <c r="C22">
        <v>-48</v>
      </c>
      <c r="D22">
        <v>38</v>
      </c>
      <c r="E22">
        <v>5</v>
      </c>
      <c r="F22">
        <v>-35</v>
      </c>
      <c r="G22">
        <v>-115</v>
      </c>
      <c r="H22">
        <v>200</v>
      </c>
      <c r="I22">
        <v>-50</v>
      </c>
      <c r="J22">
        <v>-344</v>
      </c>
      <c r="K22">
        <v>294</v>
      </c>
      <c r="L22">
        <v>-143</v>
      </c>
      <c r="M22">
        <v>243</v>
      </c>
      <c r="N22">
        <v>0</v>
      </c>
    </row>
    <row r="23" spans="2:14" x14ac:dyDescent="0.3">
      <c r="B23" t="s">
        <v>102</v>
      </c>
      <c r="C23">
        <v>60</v>
      </c>
      <c r="D23">
        <v>10</v>
      </c>
      <c r="E23">
        <v>-38</v>
      </c>
      <c r="F23">
        <v>-43</v>
      </c>
      <c r="G23">
        <v>-485</v>
      </c>
      <c r="H23">
        <v>359</v>
      </c>
      <c r="I23">
        <v>-46</v>
      </c>
      <c r="J23">
        <v>-948</v>
      </c>
      <c r="K23">
        <v>273</v>
      </c>
      <c r="L23">
        <v>56</v>
      </c>
      <c r="M23">
        <v>80</v>
      </c>
      <c r="N23" s="27">
        <v>-1077</v>
      </c>
    </row>
    <row r="24" spans="2:14" x14ac:dyDescent="0.3">
      <c r="B24" t="s">
        <v>111</v>
      </c>
      <c r="C24" s="27">
        <v>-1005</v>
      </c>
      <c r="D24">
        <v>-505</v>
      </c>
      <c r="E24" s="27">
        <v>-166</v>
      </c>
      <c r="F24" s="27">
        <v>-252</v>
      </c>
      <c r="G24">
        <v>-489</v>
      </c>
      <c r="H24" s="27">
        <v>-242</v>
      </c>
      <c r="I24" s="27">
        <v>-1234</v>
      </c>
      <c r="J24" s="27">
        <v>-403</v>
      </c>
      <c r="K24" s="27">
        <v>457</v>
      </c>
      <c r="L24" s="27">
        <v>-1329</v>
      </c>
      <c r="M24" s="27">
        <v>-7</v>
      </c>
      <c r="N24" s="27">
        <v>-2159</v>
      </c>
    </row>
    <row r="25" spans="2:14" x14ac:dyDescent="0.3">
      <c r="B25" t="s">
        <v>103</v>
      </c>
      <c r="C25" s="27">
        <v>0</v>
      </c>
      <c r="D25" s="27">
        <v>0</v>
      </c>
      <c r="E25" s="27">
        <v>0</v>
      </c>
      <c r="F25" s="27">
        <v>0</v>
      </c>
      <c r="G25" s="27">
        <v>0</v>
      </c>
      <c r="H25" s="27">
        <v>693</v>
      </c>
      <c r="I25" s="27">
        <v>0</v>
      </c>
      <c r="J25" s="27">
        <v>349</v>
      </c>
      <c r="K25" s="27">
        <v>1684</v>
      </c>
      <c r="L25" s="27">
        <v>5629</v>
      </c>
      <c r="M25" s="27">
        <v>2599</v>
      </c>
      <c r="N25" s="27">
        <v>3314</v>
      </c>
    </row>
    <row r="26" spans="2:14" x14ac:dyDescent="0.3">
      <c r="B26" t="s">
        <v>104</v>
      </c>
      <c r="C26" s="27">
        <v>0</v>
      </c>
      <c r="D26">
        <v>0</v>
      </c>
      <c r="E26">
        <v>0</v>
      </c>
      <c r="F26">
        <v>0</v>
      </c>
      <c r="G26">
        <v>-39</v>
      </c>
      <c r="H26" s="27">
        <v>0</v>
      </c>
      <c r="I26">
        <v>-562</v>
      </c>
      <c r="J26">
        <v>-7</v>
      </c>
      <c r="K26">
        <v>-7</v>
      </c>
      <c r="L26" s="27">
        <v>0</v>
      </c>
      <c r="M26" s="27">
        <v>-378</v>
      </c>
      <c r="N26" s="27">
        <v>-2632</v>
      </c>
    </row>
    <row r="27" spans="2:14" x14ac:dyDescent="0.3">
      <c r="B27" t="s">
        <v>105</v>
      </c>
      <c r="C27">
        <v>-81</v>
      </c>
      <c r="D27">
        <v>-42</v>
      </c>
      <c r="E27">
        <v>-38</v>
      </c>
      <c r="F27">
        <v>-54</v>
      </c>
      <c r="G27">
        <v>-53</v>
      </c>
      <c r="H27">
        <v>-399</v>
      </c>
      <c r="I27">
        <v>-317</v>
      </c>
      <c r="J27">
        <v>-218</v>
      </c>
      <c r="K27">
        <v>-300</v>
      </c>
      <c r="L27">
        <v>-619</v>
      </c>
      <c r="M27">
        <v>-538</v>
      </c>
      <c r="N27" s="27">
        <v>-1000</v>
      </c>
    </row>
    <row r="28" spans="2:14" x14ac:dyDescent="0.3">
      <c r="B28" t="s">
        <v>106</v>
      </c>
      <c r="C28" s="27">
        <v>-185</v>
      </c>
      <c r="D28" s="27">
        <v>-394</v>
      </c>
      <c r="E28" s="27">
        <v>-4</v>
      </c>
      <c r="F28" s="27">
        <v>-277</v>
      </c>
      <c r="G28" s="27">
        <v>-397</v>
      </c>
      <c r="H28" s="27">
        <v>-536</v>
      </c>
      <c r="I28" s="27">
        <v>-355</v>
      </c>
      <c r="J28" s="27">
        <v>-355</v>
      </c>
      <c r="K28" s="27">
        <v>-666</v>
      </c>
      <c r="L28" s="27">
        <v>-888</v>
      </c>
      <c r="M28" s="27">
        <v>-976</v>
      </c>
      <c r="N28" s="27">
        <v>-976</v>
      </c>
    </row>
    <row r="29" spans="2:14" x14ac:dyDescent="0.3">
      <c r="B29" t="s">
        <v>107</v>
      </c>
      <c r="C29" s="27">
        <v>0</v>
      </c>
      <c r="D29" s="27">
        <v>0</v>
      </c>
      <c r="E29" s="27">
        <v>0</v>
      </c>
      <c r="F29" s="27">
        <v>0</v>
      </c>
      <c r="G29" s="27">
        <v>0</v>
      </c>
      <c r="H29" s="27">
        <v>0</v>
      </c>
      <c r="I29" s="27">
        <v>0</v>
      </c>
      <c r="J29" s="27">
        <v>-172</v>
      </c>
      <c r="K29" s="27">
        <v>-254</v>
      </c>
      <c r="L29" s="27">
        <v>-318</v>
      </c>
      <c r="M29" s="27">
        <v>-700</v>
      </c>
      <c r="N29" s="27">
        <v>-865</v>
      </c>
    </row>
    <row r="30" spans="2:14" x14ac:dyDescent="0.3">
      <c r="B30" t="s">
        <v>108</v>
      </c>
      <c r="C30">
        <v>-739</v>
      </c>
      <c r="D30">
        <v>-68</v>
      </c>
      <c r="E30">
        <v>-124</v>
      </c>
      <c r="F30">
        <v>79</v>
      </c>
      <c r="G30">
        <v>0</v>
      </c>
      <c r="H30">
        <v>0</v>
      </c>
      <c r="I30">
        <v>0</v>
      </c>
      <c r="J30">
        <v>0</v>
      </c>
      <c r="K30">
        <v>0</v>
      </c>
      <c r="L30" s="27">
        <v>-5133</v>
      </c>
      <c r="M30">
        <v>-14</v>
      </c>
      <c r="N30">
        <v>0</v>
      </c>
    </row>
    <row r="31" spans="2:14" x14ac:dyDescent="0.3">
      <c r="B31" t="s">
        <v>52</v>
      </c>
      <c r="C31" s="27">
        <v>-620</v>
      </c>
      <c r="D31" s="27">
        <v>-88</v>
      </c>
      <c r="E31" s="27">
        <v>594</v>
      </c>
      <c r="F31" s="27">
        <v>-206</v>
      </c>
      <c r="G31" s="27">
        <v>-43</v>
      </c>
      <c r="H31" s="27">
        <v>-355</v>
      </c>
      <c r="I31" s="27">
        <v>106</v>
      </c>
      <c r="J31" s="27">
        <v>38</v>
      </c>
      <c r="K31" s="27">
        <v>13</v>
      </c>
      <c r="L31" s="27">
        <v>177</v>
      </c>
      <c r="M31" s="27">
        <v>-2</v>
      </c>
      <c r="N31" s="27">
        <v>466</v>
      </c>
    </row>
    <row r="32" spans="2:14" x14ac:dyDescent="0.3">
      <c r="B32" t="s">
        <v>119</v>
      </c>
      <c r="C32" s="27">
        <v>296</v>
      </c>
      <c r="D32" s="27">
        <v>324</v>
      </c>
      <c r="E32" s="27">
        <v>1461</v>
      </c>
      <c r="F32">
        <v>-350</v>
      </c>
      <c r="G32">
        <v>980</v>
      </c>
      <c r="H32">
        <v>-693</v>
      </c>
      <c r="I32" s="27">
        <v>4000</v>
      </c>
      <c r="J32">
        <v>-940</v>
      </c>
      <c r="K32">
        <v>950</v>
      </c>
      <c r="L32" s="27">
        <v>1024</v>
      </c>
      <c r="M32" s="27">
        <v>-1011</v>
      </c>
      <c r="N32" s="27">
        <v>4713</v>
      </c>
    </row>
    <row r="33" spans="2:14" x14ac:dyDescent="0.3">
      <c r="B33" t="s">
        <v>120</v>
      </c>
      <c r="C33" s="28">
        <v>0.65</v>
      </c>
      <c r="D33" s="28">
        <v>0.83</v>
      </c>
      <c r="E33" s="28">
        <v>1.71</v>
      </c>
      <c r="F33" s="28">
        <v>0.25</v>
      </c>
      <c r="G33" s="28">
        <v>0.94</v>
      </c>
      <c r="H33" s="28">
        <v>0.08</v>
      </c>
      <c r="I33" s="28">
        <v>2.56</v>
      </c>
      <c r="J33" s="28">
        <v>0.02</v>
      </c>
      <c r="K33" s="28">
        <v>0.52</v>
      </c>
      <c r="L33" s="27">
        <v>0.54</v>
      </c>
      <c r="M33" s="27">
        <v>0.1</v>
      </c>
      <c r="N33" s="27">
        <v>0.88</v>
      </c>
    </row>
    <row r="34" spans="2:14" x14ac:dyDescent="0.3">
      <c r="B34" t="s">
        <v>108</v>
      </c>
      <c r="C34">
        <v>-399</v>
      </c>
      <c r="D34" s="27">
        <v>-1147</v>
      </c>
      <c r="E34" s="27">
        <v>-2849</v>
      </c>
      <c r="F34">
        <v>-450</v>
      </c>
      <c r="G34">
        <v>-57</v>
      </c>
      <c r="H34">
        <v>0</v>
      </c>
      <c r="I34">
        <v>0</v>
      </c>
      <c r="J34">
        <v>0</v>
      </c>
      <c r="K34">
        <v>0</v>
      </c>
      <c r="L34">
        <v>-29</v>
      </c>
      <c r="M34">
        <v>0</v>
      </c>
      <c r="N34" s="27">
        <v>3750</v>
      </c>
    </row>
    <row r="35" spans="2:14" x14ac:dyDescent="0.3">
      <c r="B35" t="s">
        <v>52</v>
      </c>
      <c r="C35" s="27">
        <v>2815</v>
      </c>
      <c r="D35" s="27">
        <v>5488</v>
      </c>
      <c r="E35" s="27">
        <v>-2499</v>
      </c>
      <c r="F35" s="27">
        <v>4277</v>
      </c>
      <c r="G35" s="27">
        <v>4500</v>
      </c>
      <c r="H35" s="27">
        <v>-2589</v>
      </c>
      <c r="I35" s="27">
        <v>-3167</v>
      </c>
      <c r="J35">
        <v>730</v>
      </c>
      <c r="K35" s="27">
        <v>6843</v>
      </c>
      <c r="L35" s="27">
        <v>-3092</v>
      </c>
      <c r="M35" s="27">
        <v>13232</v>
      </c>
      <c r="N35" s="27">
        <v>6459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8B414-43EE-4FFE-B14C-A002C9EDC0A7}">
  <dimension ref="A1:L93"/>
  <sheetViews>
    <sheetView workbookViewId="0">
      <pane xSplit="1" ySplit="1" topLeftCell="B50" activePane="bottomRight" state="frozen"/>
      <selection activeCell="C4" sqref="C4"/>
      <selection pane="topRight" activeCell="C4" sqref="C4"/>
      <selection pane="bottomLeft" activeCell="C4" sqref="C4"/>
      <selection pane="bottomRight" activeCell="B18" sqref="B18"/>
    </sheetView>
  </sheetViews>
  <sheetFormatPr defaultColWidth="10.44140625" defaultRowHeight="13.2" x14ac:dyDescent="0.25"/>
  <cols>
    <col min="1" max="1" width="26.6640625" style="2" bestFit="1" customWidth="1"/>
    <col min="2" max="11" width="11.44140625" style="2" bestFit="1" customWidth="1"/>
    <col min="12" max="16384" width="10.44140625" style="2"/>
  </cols>
  <sheetData>
    <row r="1" spans="1:11" s="1" customFormat="1" x14ac:dyDescent="0.25">
      <c r="A1" s="1" t="s">
        <v>0</v>
      </c>
      <c r="B1" s="1" t="s">
        <v>1</v>
      </c>
      <c r="E1" s="118" t="str">
        <f>IF(B2&lt;&gt;B3, "A NEW VERSION OF THE WORKSHEET IS AVAILABLE", "")</f>
        <v/>
      </c>
      <c r="F1" s="118"/>
      <c r="G1" s="118"/>
      <c r="H1" s="118"/>
      <c r="I1" s="118"/>
      <c r="J1" s="118"/>
      <c r="K1" s="118"/>
    </row>
    <row r="2" spans="1:11" x14ac:dyDescent="0.25">
      <c r="A2" s="1" t="s">
        <v>2</v>
      </c>
      <c r="B2" s="2">
        <v>2.1</v>
      </c>
      <c r="E2" s="119" t="s">
        <v>3</v>
      </c>
      <c r="F2" s="119"/>
      <c r="G2" s="119"/>
      <c r="H2" s="119"/>
      <c r="I2" s="119"/>
      <c r="J2" s="119"/>
      <c r="K2" s="119"/>
    </row>
    <row r="3" spans="1:11" x14ac:dyDescent="0.25">
      <c r="A3" s="1" t="s">
        <v>4</v>
      </c>
      <c r="B3" s="2">
        <v>2.1</v>
      </c>
    </row>
    <row r="4" spans="1:11" x14ac:dyDescent="0.25">
      <c r="A4" s="1"/>
    </row>
    <row r="5" spans="1:11" x14ac:dyDescent="0.25">
      <c r="A5" s="1" t="s">
        <v>5</v>
      </c>
    </row>
    <row r="6" spans="1:11" x14ac:dyDescent="0.25">
      <c r="A6" s="2" t="s">
        <v>6</v>
      </c>
      <c r="B6" s="2">
        <f>IF(B9&gt;0, B9/B8, 0)</f>
        <v>88.778616612861015</v>
      </c>
    </row>
    <row r="7" spans="1:11" x14ac:dyDescent="0.25">
      <c r="A7" s="2" t="s">
        <v>7</v>
      </c>
      <c r="B7" s="3">
        <v>1</v>
      </c>
    </row>
    <row r="8" spans="1:11" x14ac:dyDescent="0.25">
      <c r="A8" s="2" t="s">
        <v>8</v>
      </c>
      <c r="B8" s="3">
        <v>4584.3999999999996</v>
      </c>
    </row>
    <row r="9" spans="1:11" x14ac:dyDescent="0.25">
      <c r="A9" s="2" t="s">
        <v>9</v>
      </c>
      <c r="B9" s="3">
        <v>406996.69</v>
      </c>
    </row>
    <row r="15" spans="1:11" x14ac:dyDescent="0.25">
      <c r="A15" s="1" t="s">
        <v>10</v>
      </c>
      <c r="B15" s="2">
        <f>B26+B34</f>
        <v>1246.24</v>
      </c>
      <c r="K15" s="2">
        <f>K17-K18-K20-K21-K22-K23-K19</f>
        <v>-9934</v>
      </c>
    </row>
    <row r="16" spans="1:11" s="6" customFormat="1" x14ac:dyDescent="0.25">
      <c r="A16" s="4" t="s">
        <v>11</v>
      </c>
      <c r="B16" s="5">
        <v>42825</v>
      </c>
      <c r="C16" s="5">
        <v>43190</v>
      </c>
      <c r="D16" s="5">
        <v>43555</v>
      </c>
      <c r="E16" s="5">
        <v>43921</v>
      </c>
      <c r="F16" s="5">
        <v>44286</v>
      </c>
      <c r="G16" s="5">
        <v>44651</v>
      </c>
      <c r="H16" s="5">
        <v>45016</v>
      </c>
      <c r="I16" s="5">
        <v>45382</v>
      </c>
      <c r="J16" s="5">
        <v>45747</v>
      </c>
      <c r="K16" s="5">
        <v>46112</v>
      </c>
    </row>
    <row r="17" spans="1:11" x14ac:dyDescent="0.25">
      <c r="A17" s="2" t="s">
        <v>12</v>
      </c>
      <c r="B17" s="3">
        <v>13260.83</v>
      </c>
      <c r="C17" s="3">
        <v>16119.77</v>
      </c>
      <c r="D17" s="3">
        <v>19778.52</v>
      </c>
      <c r="E17" s="3">
        <v>21052</v>
      </c>
      <c r="F17" s="3">
        <v>21644</v>
      </c>
      <c r="G17" s="3">
        <v>28799</v>
      </c>
      <c r="H17" s="3">
        <v>40575</v>
      </c>
      <c r="I17" s="3">
        <v>51084</v>
      </c>
      <c r="J17" s="3">
        <v>60456</v>
      </c>
      <c r="K17" s="3">
        <v>87584</v>
      </c>
    </row>
    <row r="18" spans="1:11" ht="14.4" x14ac:dyDescent="0.3">
      <c r="A18" s="2" t="s">
        <v>13</v>
      </c>
      <c r="B18" s="7">
        <v>9821.14</v>
      </c>
      <c r="C18" s="7">
        <v>12664.83</v>
      </c>
      <c r="D18" s="7">
        <v>15170.66</v>
      </c>
      <c r="E18" s="7">
        <v>16033</v>
      </c>
      <c r="F18" s="7">
        <v>16292</v>
      </c>
      <c r="G18" s="7">
        <v>26436</v>
      </c>
      <c r="H18" s="7">
        <v>32589</v>
      </c>
      <c r="I18" s="7">
        <v>42103</v>
      </c>
      <c r="J18" s="7">
        <v>55271</v>
      </c>
      <c r="K18" s="7">
        <v>80243</v>
      </c>
    </row>
    <row r="19" spans="1:11" ht="14.4" x14ac:dyDescent="0.3">
      <c r="A19" s="2" t="s">
        <v>14</v>
      </c>
      <c r="B19" s="7">
        <v>313.70999999999998</v>
      </c>
      <c r="C19" s="7">
        <v>978.61</v>
      </c>
      <c r="D19" s="7">
        <v>776.41</v>
      </c>
      <c r="E19" s="7">
        <v>878</v>
      </c>
      <c r="F19" s="7">
        <v>-122</v>
      </c>
      <c r="G19" s="7">
        <v>4795</v>
      </c>
      <c r="H19" s="7">
        <v>2234</v>
      </c>
      <c r="I19" s="7">
        <v>2671</v>
      </c>
      <c r="J19" s="7">
        <v>7815</v>
      </c>
      <c r="K19" s="7">
        <v>9936</v>
      </c>
    </row>
    <row r="20" spans="1:11" x14ac:dyDescent="0.25">
      <c r="A20" s="2" t="s">
        <v>15</v>
      </c>
      <c r="B20" s="3">
        <v>43.84</v>
      </c>
      <c r="C20" s="3">
        <v>45.32</v>
      </c>
      <c r="D20" s="3">
        <v>48.51</v>
      </c>
      <c r="E20" s="3">
        <v>52</v>
      </c>
      <c r="F20" s="3">
        <v>37</v>
      </c>
      <c r="G20" s="3">
        <v>45</v>
      </c>
      <c r="H20" s="3">
        <v>59</v>
      </c>
      <c r="I20" s="3">
        <v>71</v>
      </c>
      <c r="J20" s="3">
        <v>78</v>
      </c>
      <c r="K20" s="3">
        <v>87</v>
      </c>
    </row>
    <row r="21" spans="1:11" x14ac:dyDescent="0.25">
      <c r="A21" s="2" t="s">
        <v>16</v>
      </c>
      <c r="B21" s="3">
        <v>160.41999999999999</v>
      </c>
      <c r="C21" s="3">
        <v>124.83</v>
      </c>
      <c r="D21" s="3">
        <v>193.28</v>
      </c>
      <c r="E21" s="3">
        <v>215</v>
      </c>
      <c r="F21" s="3">
        <v>141</v>
      </c>
      <c r="G21" s="3">
        <v>183</v>
      </c>
      <c r="H21" s="3">
        <v>225</v>
      </c>
      <c r="I21" s="3">
        <v>286</v>
      </c>
      <c r="J21" s="3">
        <v>326</v>
      </c>
      <c r="K21" s="3">
        <v>375</v>
      </c>
    </row>
    <row r="22" spans="1:11" x14ac:dyDescent="0.25">
      <c r="A22" s="2" t="s">
        <v>17</v>
      </c>
      <c r="B22" s="3">
        <v>894.32</v>
      </c>
      <c r="C22" s="3">
        <v>906.26</v>
      </c>
      <c r="D22" s="3">
        <v>1024.44</v>
      </c>
      <c r="E22" s="3">
        <v>1204</v>
      </c>
      <c r="F22" s="3">
        <v>1069</v>
      </c>
      <c r="G22" s="3">
        <v>1356</v>
      </c>
      <c r="H22" s="3">
        <v>1656</v>
      </c>
      <c r="I22" s="3">
        <v>1875</v>
      </c>
      <c r="J22" s="3">
        <v>2164</v>
      </c>
      <c r="K22" s="3">
        <v>2692</v>
      </c>
    </row>
    <row r="23" spans="1:11" x14ac:dyDescent="0.25">
      <c r="A23" s="2" t="s">
        <v>18</v>
      </c>
      <c r="B23" s="3">
        <v>1211.1600000000001</v>
      </c>
      <c r="C23" s="3">
        <v>1277.81</v>
      </c>
      <c r="D23" s="3">
        <v>1454.32</v>
      </c>
      <c r="E23" s="3">
        <v>1470</v>
      </c>
      <c r="F23" s="3">
        <v>1029</v>
      </c>
      <c r="G23" s="3">
        <v>1697</v>
      </c>
      <c r="H23" s="3">
        <v>2715</v>
      </c>
      <c r="I23" s="3">
        <v>3249</v>
      </c>
      <c r="J23" s="3">
        <v>3494</v>
      </c>
      <c r="K23" s="3">
        <v>4185</v>
      </c>
    </row>
    <row r="24" spans="1:11" x14ac:dyDescent="0.25">
      <c r="A24" s="2" t="s">
        <v>19</v>
      </c>
      <c r="B24" s="3">
        <v>279.76</v>
      </c>
      <c r="C24" s="3">
        <v>435.13</v>
      </c>
      <c r="D24" s="3">
        <v>669.93</v>
      </c>
      <c r="E24" s="3">
        <v>493</v>
      </c>
      <c r="F24" s="3">
        <v>1229</v>
      </c>
      <c r="G24" s="3">
        <v>533</v>
      </c>
      <c r="H24" s="3">
        <v>683</v>
      </c>
      <c r="I24" s="3">
        <v>879</v>
      </c>
      <c r="J24" s="3">
        <v>1244</v>
      </c>
      <c r="K24" s="3">
        <v>1581</v>
      </c>
    </row>
    <row r="25" spans="1:11" x14ac:dyDescent="0.25">
      <c r="A25" s="2" t="s">
        <v>20</v>
      </c>
      <c r="B25" s="3">
        <v>-42.38</v>
      </c>
      <c r="C25" s="3">
        <v>69.930000000000007</v>
      </c>
      <c r="D25" s="3">
        <v>178.48</v>
      </c>
      <c r="E25" s="3">
        <v>153</v>
      </c>
      <c r="F25" s="3">
        <v>180</v>
      </c>
      <c r="G25" s="3">
        <v>177</v>
      </c>
      <c r="H25" s="3">
        <v>306</v>
      </c>
      <c r="I25" s="3">
        <v>534</v>
      </c>
      <c r="J25" s="3">
        <v>487</v>
      </c>
      <c r="K25" s="3">
        <v>450</v>
      </c>
    </row>
    <row r="26" spans="1:11" x14ac:dyDescent="0.25">
      <c r="A26" s="2" t="s">
        <v>21</v>
      </c>
      <c r="B26" s="3">
        <v>110.53</v>
      </c>
      <c r="C26" s="3">
        <v>131.43</v>
      </c>
      <c r="D26" s="3">
        <v>162.84</v>
      </c>
      <c r="E26" s="3">
        <v>348</v>
      </c>
      <c r="F26" s="3">
        <v>375</v>
      </c>
      <c r="G26" s="3">
        <v>399</v>
      </c>
      <c r="H26" s="3">
        <v>441</v>
      </c>
      <c r="I26" s="3">
        <v>584</v>
      </c>
      <c r="J26" s="3">
        <v>693</v>
      </c>
      <c r="K26" s="3">
        <v>826</v>
      </c>
    </row>
    <row r="27" spans="1:11" ht="14.4" x14ac:dyDescent="0.3">
      <c r="A27" s="2" t="s">
        <v>22</v>
      </c>
      <c r="B27" s="3">
        <v>37.74</v>
      </c>
      <c r="C27" s="3">
        <v>52.92</v>
      </c>
      <c r="D27" s="3">
        <v>52.54</v>
      </c>
      <c r="E27" s="3">
        <v>166</v>
      </c>
      <c r="F27" s="3">
        <v>203</v>
      </c>
      <c r="G27" s="3">
        <v>218</v>
      </c>
      <c r="H27" s="3">
        <v>300</v>
      </c>
      <c r="I27" s="3">
        <v>619</v>
      </c>
      <c r="J27" s="7">
        <v>953</v>
      </c>
      <c r="K27" s="7">
        <v>1180</v>
      </c>
    </row>
    <row r="28" spans="1:11" x14ac:dyDescent="0.25">
      <c r="A28" s="2" t="s">
        <v>23</v>
      </c>
      <c r="B28" s="3">
        <v>973.25</v>
      </c>
      <c r="C28" s="3">
        <v>1529.78</v>
      </c>
      <c r="D28" s="3">
        <v>1956.89</v>
      </c>
      <c r="E28" s="3">
        <v>2102</v>
      </c>
      <c r="F28" s="3">
        <v>1327</v>
      </c>
      <c r="G28" s="3">
        <v>2904</v>
      </c>
      <c r="H28" s="3">
        <v>4447</v>
      </c>
      <c r="I28" s="3">
        <v>4623</v>
      </c>
      <c r="J28" s="3">
        <v>4535</v>
      </c>
      <c r="K28" s="3">
        <v>6801</v>
      </c>
    </row>
    <row r="29" spans="1:11" x14ac:dyDescent="0.25">
      <c r="A29" s="2" t="s">
        <v>24</v>
      </c>
      <c r="B29" s="3">
        <v>275.97000000000003</v>
      </c>
      <c r="C29" s="3">
        <v>427.87</v>
      </c>
      <c r="D29" s="3">
        <v>568.24</v>
      </c>
      <c r="E29" s="3">
        <v>609</v>
      </c>
      <c r="F29" s="3">
        <v>353</v>
      </c>
      <c r="G29" s="3">
        <v>706</v>
      </c>
      <c r="H29" s="3">
        <v>1173</v>
      </c>
      <c r="I29" s="3">
        <v>1127</v>
      </c>
      <c r="J29" s="3">
        <v>1198</v>
      </c>
      <c r="K29" s="3">
        <v>1728</v>
      </c>
    </row>
    <row r="30" spans="1:11" x14ac:dyDescent="0.25">
      <c r="A30" s="2" t="s">
        <v>25</v>
      </c>
      <c r="B30" s="3">
        <v>711.47</v>
      </c>
      <c r="C30" s="3">
        <v>1130.0899999999999</v>
      </c>
      <c r="D30" s="3">
        <v>1404.15</v>
      </c>
      <c r="E30" s="3">
        <v>1501</v>
      </c>
      <c r="F30" s="3">
        <v>973</v>
      </c>
      <c r="G30" s="3">
        <v>2173</v>
      </c>
      <c r="H30" s="3">
        <v>3250</v>
      </c>
      <c r="I30" s="3">
        <v>3496</v>
      </c>
      <c r="J30" s="3">
        <v>3337</v>
      </c>
      <c r="K30" s="3">
        <v>5073</v>
      </c>
    </row>
    <row r="31" spans="1:11" x14ac:dyDescent="0.25">
      <c r="A31" s="2" t="s">
        <v>26</v>
      </c>
      <c r="B31" s="3">
        <v>230.83</v>
      </c>
      <c r="C31" s="3">
        <v>332.92</v>
      </c>
      <c r="D31" s="3">
        <v>443.9</v>
      </c>
      <c r="E31" s="3">
        <v>356</v>
      </c>
      <c r="F31" s="3">
        <v>356</v>
      </c>
      <c r="G31" s="3">
        <v>667.5</v>
      </c>
      <c r="H31" s="3">
        <v>890</v>
      </c>
      <c r="I31" s="3">
        <v>979</v>
      </c>
      <c r="J31" s="3">
        <v>979</v>
      </c>
      <c r="K31" s="3">
        <v>1335</v>
      </c>
    </row>
    <row r="32" spans="1:11" x14ac:dyDescent="0.25">
      <c r="A32" s="2" t="s">
        <v>27</v>
      </c>
      <c r="B32" s="8">
        <f>B29/B28</f>
        <v>0.28355509889545338</v>
      </c>
      <c r="C32" s="8">
        <f t="shared" ref="C32:K32" si="0">C29/C28</f>
        <v>0.27969381218214384</v>
      </c>
      <c r="D32" s="8">
        <f t="shared" si="0"/>
        <v>0.29037912197415283</v>
      </c>
      <c r="E32" s="8">
        <f t="shared" si="0"/>
        <v>0.28972407231208375</v>
      </c>
      <c r="F32" s="8">
        <f t="shared" si="0"/>
        <v>0.26601356443104746</v>
      </c>
      <c r="G32" s="8">
        <f t="shared" si="0"/>
        <v>0.24311294765840222</v>
      </c>
      <c r="H32" s="8">
        <f t="shared" si="0"/>
        <v>0.26377333033505734</v>
      </c>
      <c r="I32" s="8">
        <f t="shared" si="0"/>
        <v>0.24378109452736318</v>
      </c>
      <c r="J32" s="8">
        <f t="shared" si="0"/>
        <v>0.26416758544652702</v>
      </c>
      <c r="K32" s="8">
        <f t="shared" si="0"/>
        <v>0.25408028231142477</v>
      </c>
    </row>
    <row r="34" spans="1:11" x14ac:dyDescent="0.25">
      <c r="A34" s="2" t="s">
        <v>28</v>
      </c>
      <c r="B34" s="2">
        <f>+B30+B29+B27+B26</f>
        <v>1135.71</v>
      </c>
      <c r="C34" s="2">
        <f t="shared" ref="C34:K34" si="1">+C30+C29+C27+C26</f>
        <v>1742.3100000000002</v>
      </c>
      <c r="D34" s="2">
        <f t="shared" si="1"/>
        <v>2187.77</v>
      </c>
      <c r="E34" s="2">
        <f t="shared" si="1"/>
        <v>2624</v>
      </c>
      <c r="F34" s="2">
        <f t="shared" si="1"/>
        <v>1904</v>
      </c>
      <c r="G34" s="2">
        <f t="shared" si="1"/>
        <v>3496</v>
      </c>
      <c r="H34" s="2">
        <f t="shared" si="1"/>
        <v>5164</v>
      </c>
      <c r="I34" s="2">
        <f t="shared" si="1"/>
        <v>5826</v>
      </c>
      <c r="J34" s="2">
        <f t="shared" si="1"/>
        <v>6181</v>
      </c>
      <c r="K34" s="2">
        <f t="shared" si="1"/>
        <v>8807</v>
      </c>
    </row>
    <row r="40" spans="1:11" x14ac:dyDescent="0.25">
      <c r="A40" s="1" t="s">
        <v>29</v>
      </c>
    </row>
    <row r="41" spans="1:11" s="6" customFormat="1" x14ac:dyDescent="0.25">
      <c r="A41" s="4" t="s">
        <v>11</v>
      </c>
      <c r="B41" s="5">
        <v>45291</v>
      </c>
      <c r="C41" s="5">
        <v>45382</v>
      </c>
      <c r="D41" s="5">
        <v>45473</v>
      </c>
      <c r="E41" s="5">
        <v>45565</v>
      </c>
      <c r="F41" s="5">
        <v>45657</v>
      </c>
      <c r="G41" s="5">
        <v>45747</v>
      </c>
      <c r="H41" s="5">
        <v>45838</v>
      </c>
      <c r="I41" s="5">
        <v>45930</v>
      </c>
      <c r="J41" s="5">
        <v>46022</v>
      </c>
      <c r="K41" s="5">
        <v>46112</v>
      </c>
    </row>
    <row r="42" spans="1:11" x14ac:dyDescent="0.25">
      <c r="A42" s="2" t="s">
        <v>12</v>
      </c>
      <c r="B42" s="3">
        <v>14164</v>
      </c>
      <c r="C42" s="3">
        <v>12494</v>
      </c>
      <c r="D42" s="3">
        <v>13266</v>
      </c>
      <c r="E42" s="3">
        <v>14534</v>
      </c>
      <c r="F42" s="3">
        <v>17740</v>
      </c>
      <c r="G42" s="3">
        <v>14916</v>
      </c>
      <c r="H42" s="3">
        <v>16523</v>
      </c>
      <c r="I42" s="3">
        <v>18725</v>
      </c>
      <c r="J42" s="3">
        <v>25416</v>
      </c>
      <c r="K42" s="3">
        <v>26920</v>
      </c>
    </row>
    <row r="43" spans="1:11" x14ac:dyDescent="0.25">
      <c r="A43" s="2" t="s">
        <v>30</v>
      </c>
      <c r="B43" s="3">
        <v>12599</v>
      </c>
      <c r="C43" s="3">
        <v>11303</v>
      </c>
      <c r="D43" s="3">
        <v>12019</v>
      </c>
      <c r="E43" s="3">
        <v>13298</v>
      </c>
      <c r="F43" s="3">
        <v>16066</v>
      </c>
      <c r="G43" s="3">
        <v>13379</v>
      </c>
      <c r="H43" s="3">
        <v>14693</v>
      </c>
      <c r="I43" s="3">
        <v>16850</v>
      </c>
      <c r="J43" s="3">
        <v>22703</v>
      </c>
      <c r="K43" s="3">
        <v>24982</v>
      </c>
    </row>
    <row r="44" spans="1:11" x14ac:dyDescent="0.25">
      <c r="A44" s="2" t="s">
        <v>20</v>
      </c>
      <c r="B44" s="3">
        <v>136</v>
      </c>
      <c r="C44" s="3">
        <v>159</v>
      </c>
      <c r="D44" s="3">
        <v>120</v>
      </c>
      <c r="E44" s="3">
        <v>123</v>
      </c>
      <c r="F44" s="3">
        <v>128</v>
      </c>
      <c r="G44" s="3">
        <v>116</v>
      </c>
      <c r="H44" s="3">
        <v>105</v>
      </c>
      <c r="I44" s="3">
        <v>113</v>
      </c>
      <c r="J44" s="3">
        <v>-1</v>
      </c>
      <c r="K44" s="3">
        <v>235</v>
      </c>
    </row>
    <row r="45" spans="1:11" x14ac:dyDescent="0.25">
      <c r="A45" s="2" t="s">
        <v>21</v>
      </c>
      <c r="B45" s="3">
        <v>154</v>
      </c>
      <c r="C45" s="3">
        <v>158</v>
      </c>
      <c r="D45" s="3">
        <v>164</v>
      </c>
      <c r="E45" s="3">
        <v>171</v>
      </c>
      <c r="F45" s="3">
        <v>175</v>
      </c>
      <c r="G45" s="3">
        <v>183</v>
      </c>
      <c r="H45" s="3">
        <v>184</v>
      </c>
      <c r="I45" s="3">
        <v>189</v>
      </c>
      <c r="J45" s="3">
        <v>207</v>
      </c>
      <c r="K45" s="3">
        <v>246</v>
      </c>
    </row>
    <row r="46" spans="1:11" ht="14.4" x14ac:dyDescent="0.3">
      <c r="A46" s="2" t="s">
        <v>22</v>
      </c>
      <c r="B46" s="7">
        <v>169</v>
      </c>
      <c r="C46" s="7">
        <v>201</v>
      </c>
      <c r="D46" s="7">
        <v>230</v>
      </c>
      <c r="E46" s="7">
        <v>240</v>
      </c>
      <c r="F46" s="7">
        <v>231</v>
      </c>
      <c r="G46" s="7">
        <v>252</v>
      </c>
      <c r="H46" s="7">
        <v>271</v>
      </c>
      <c r="I46" s="7">
        <v>277</v>
      </c>
      <c r="J46" s="7">
        <v>282</v>
      </c>
      <c r="K46" s="7">
        <v>350</v>
      </c>
    </row>
    <row r="47" spans="1:11" x14ac:dyDescent="0.25">
      <c r="A47" s="2" t="s">
        <v>23</v>
      </c>
      <c r="B47" s="3">
        <v>1378</v>
      </c>
      <c r="C47" s="3">
        <v>991</v>
      </c>
      <c r="D47" s="3">
        <v>973</v>
      </c>
      <c r="E47" s="3">
        <v>948</v>
      </c>
      <c r="F47" s="3">
        <v>1396</v>
      </c>
      <c r="G47" s="3">
        <v>1218</v>
      </c>
      <c r="H47" s="3">
        <v>1480</v>
      </c>
      <c r="I47" s="3">
        <v>1522</v>
      </c>
      <c r="J47" s="3">
        <v>2223</v>
      </c>
      <c r="K47" s="3">
        <v>1577</v>
      </c>
    </row>
    <row r="48" spans="1:11" x14ac:dyDescent="0.25">
      <c r="A48" s="2" t="s">
        <v>24</v>
      </c>
      <c r="B48" s="3">
        <v>325</v>
      </c>
      <c r="C48" s="3">
        <v>220</v>
      </c>
      <c r="D48" s="3">
        <v>258</v>
      </c>
      <c r="E48" s="3">
        <v>244</v>
      </c>
      <c r="F48" s="3">
        <v>349</v>
      </c>
      <c r="G48" s="3">
        <v>347</v>
      </c>
      <c r="H48" s="3">
        <v>389</v>
      </c>
      <c r="I48" s="3">
        <v>402</v>
      </c>
      <c r="J48" s="3">
        <v>539</v>
      </c>
      <c r="K48" s="3">
        <v>398</v>
      </c>
    </row>
    <row r="49" spans="1:11" x14ac:dyDescent="0.25">
      <c r="A49" s="2" t="s">
        <v>25</v>
      </c>
      <c r="B49" s="3">
        <v>1053</v>
      </c>
      <c r="C49" s="3">
        <v>771</v>
      </c>
      <c r="D49" s="3">
        <v>715</v>
      </c>
      <c r="E49" s="3">
        <v>704</v>
      </c>
      <c r="F49" s="3">
        <v>1047</v>
      </c>
      <c r="G49" s="3">
        <v>871</v>
      </c>
      <c r="H49" s="3">
        <v>1091</v>
      </c>
      <c r="I49" s="3">
        <v>1120</v>
      </c>
      <c r="J49" s="3">
        <v>1684</v>
      </c>
      <c r="K49" s="3">
        <v>1179</v>
      </c>
    </row>
    <row r="50" spans="1:11" x14ac:dyDescent="0.25">
      <c r="A50" s="2" t="s">
        <v>31</v>
      </c>
      <c r="B50" s="3">
        <v>1565</v>
      </c>
      <c r="C50" s="3">
        <v>1191</v>
      </c>
      <c r="D50" s="3">
        <v>1247</v>
      </c>
      <c r="E50" s="3">
        <v>1236</v>
      </c>
      <c r="F50" s="3">
        <v>1674</v>
      </c>
      <c r="G50" s="3">
        <v>1537</v>
      </c>
      <c r="H50" s="3">
        <v>1830</v>
      </c>
      <c r="I50" s="3">
        <v>1875</v>
      </c>
      <c r="J50" s="3">
        <v>2713</v>
      </c>
      <c r="K50" s="3">
        <v>1938</v>
      </c>
    </row>
    <row r="51" spans="1:11" x14ac:dyDescent="0.25">
      <c r="A51" s="2" t="s">
        <v>28</v>
      </c>
      <c r="B51" s="2">
        <f>B49+B48+B46+B45</f>
        <v>1701</v>
      </c>
      <c r="C51" s="2">
        <f t="shared" ref="C51:K51" si="2">C49+C48+C46+C45</f>
        <v>1350</v>
      </c>
      <c r="D51" s="2">
        <f t="shared" si="2"/>
        <v>1367</v>
      </c>
      <c r="E51" s="2">
        <f t="shared" si="2"/>
        <v>1359</v>
      </c>
      <c r="F51" s="2">
        <f t="shared" si="2"/>
        <v>1802</v>
      </c>
      <c r="G51" s="2">
        <f t="shared" si="2"/>
        <v>1653</v>
      </c>
      <c r="H51" s="2">
        <f t="shared" si="2"/>
        <v>1935</v>
      </c>
      <c r="I51" s="2">
        <f t="shared" si="2"/>
        <v>1988</v>
      </c>
      <c r="J51" s="2">
        <f t="shared" si="2"/>
        <v>2712</v>
      </c>
      <c r="K51" s="2">
        <f t="shared" si="2"/>
        <v>2173</v>
      </c>
    </row>
    <row r="55" spans="1:11" x14ac:dyDescent="0.25">
      <c r="A55" s="1" t="s">
        <v>32</v>
      </c>
    </row>
    <row r="56" spans="1:11" s="6" customFormat="1" x14ac:dyDescent="0.25">
      <c r="A56" s="4" t="s">
        <v>11</v>
      </c>
      <c r="B56" s="5">
        <v>42825</v>
      </c>
      <c r="C56" s="5">
        <v>43190</v>
      </c>
      <c r="D56" s="5">
        <v>43555</v>
      </c>
      <c r="E56" s="5">
        <v>43921</v>
      </c>
      <c r="F56" s="5">
        <v>44286</v>
      </c>
      <c r="G56" s="5">
        <v>44651</v>
      </c>
      <c r="H56" s="5">
        <v>45016</v>
      </c>
      <c r="I56" s="5">
        <v>45382</v>
      </c>
      <c r="J56" s="5">
        <v>45747</v>
      </c>
      <c r="K56" s="5">
        <v>46112</v>
      </c>
    </row>
    <row r="57" spans="1:11" x14ac:dyDescent="0.25">
      <c r="A57" s="2" t="s">
        <v>33</v>
      </c>
      <c r="B57" s="3">
        <v>88.78</v>
      </c>
      <c r="C57" s="3">
        <v>88.78</v>
      </c>
      <c r="D57" s="3">
        <v>88.78</v>
      </c>
      <c r="E57" s="3">
        <v>89</v>
      </c>
      <c r="F57" s="3">
        <v>89</v>
      </c>
      <c r="G57" s="3">
        <v>89</v>
      </c>
      <c r="H57" s="3">
        <v>89</v>
      </c>
      <c r="I57" s="3">
        <v>89</v>
      </c>
      <c r="J57" s="3">
        <v>89</v>
      </c>
      <c r="K57" s="3">
        <v>89</v>
      </c>
    </row>
    <row r="58" spans="1:11" x14ac:dyDescent="0.25">
      <c r="A58" s="2" t="s">
        <v>34</v>
      </c>
      <c r="B58" s="3">
        <v>4143.6000000000004</v>
      </c>
      <c r="C58" s="3">
        <v>5001.1000000000004</v>
      </c>
      <c r="D58" s="3">
        <v>5981.37</v>
      </c>
      <c r="E58" s="3">
        <v>6580</v>
      </c>
      <c r="F58" s="3">
        <v>7408</v>
      </c>
      <c r="G58" s="3">
        <v>9214</v>
      </c>
      <c r="H58" s="3">
        <v>11762</v>
      </c>
      <c r="I58" s="3">
        <v>9304</v>
      </c>
      <c r="J58" s="3">
        <v>11535</v>
      </c>
      <c r="K58" s="3">
        <v>15614</v>
      </c>
    </row>
    <row r="59" spans="1:11" ht="14.4" x14ac:dyDescent="0.3">
      <c r="A59" s="2" t="s">
        <v>35</v>
      </c>
      <c r="B59" s="7">
        <v>1882.43</v>
      </c>
      <c r="C59" s="7">
        <v>1691.01</v>
      </c>
      <c r="D59" s="7">
        <v>2392.98</v>
      </c>
      <c r="E59" s="7">
        <v>3562</v>
      </c>
      <c r="F59" s="7">
        <v>5638</v>
      </c>
      <c r="G59" s="7">
        <v>7275</v>
      </c>
      <c r="H59" s="7">
        <v>9367</v>
      </c>
      <c r="I59" s="7">
        <v>15528</v>
      </c>
      <c r="J59" s="7">
        <v>20777</v>
      </c>
      <c r="K59" s="7">
        <v>30621</v>
      </c>
    </row>
    <row r="60" spans="1:11" x14ac:dyDescent="0.25">
      <c r="A60" s="2" t="s">
        <v>36</v>
      </c>
      <c r="B60" s="3">
        <v>2292.7600000000002</v>
      </c>
      <c r="C60" s="3">
        <v>2740.15</v>
      </c>
      <c r="D60" s="3">
        <v>3246.71</v>
      </c>
      <c r="E60" s="3">
        <v>3313</v>
      </c>
      <c r="F60" s="3">
        <v>3309</v>
      </c>
      <c r="G60" s="3">
        <v>4610</v>
      </c>
      <c r="H60" s="3">
        <v>5802</v>
      </c>
      <c r="I60" s="3">
        <v>6626</v>
      </c>
      <c r="J60" s="3">
        <v>8244</v>
      </c>
      <c r="K60" s="3">
        <v>14237</v>
      </c>
    </row>
    <row r="61" spans="1:11" s="1" customFormat="1" x14ac:dyDescent="0.25">
      <c r="A61" s="1" t="s">
        <v>37</v>
      </c>
      <c r="B61" s="3">
        <v>8407.57</v>
      </c>
      <c r="C61" s="3">
        <v>9521.0400000000009</v>
      </c>
      <c r="D61" s="3">
        <v>11709.84</v>
      </c>
      <c r="E61" s="3">
        <v>13544</v>
      </c>
      <c r="F61" s="3">
        <v>16444</v>
      </c>
      <c r="G61" s="3">
        <v>21188</v>
      </c>
      <c r="H61" s="3">
        <v>27020</v>
      </c>
      <c r="I61" s="3">
        <v>31547</v>
      </c>
      <c r="J61" s="3">
        <v>40645</v>
      </c>
      <c r="K61" s="3">
        <v>60561</v>
      </c>
    </row>
    <row r="62" spans="1:11" x14ac:dyDescent="0.25">
      <c r="A62" s="2" t="s">
        <v>38</v>
      </c>
      <c r="B62" s="3">
        <v>1188.72</v>
      </c>
      <c r="C62" s="3">
        <v>1473.81</v>
      </c>
      <c r="D62" s="3">
        <v>1566.63</v>
      </c>
      <c r="E62" s="3">
        <v>2633</v>
      </c>
      <c r="F62" s="3">
        <v>2523</v>
      </c>
      <c r="G62" s="3">
        <v>2544</v>
      </c>
      <c r="H62" s="3">
        <v>2998</v>
      </c>
      <c r="I62" s="3">
        <v>3709</v>
      </c>
      <c r="J62" s="3">
        <v>4062</v>
      </c>
      <c r="K62" s="3">
        <v>6878</v>
      </c>
    </row>
    <row r="63" spans="1:11" x14ac:dyDescent="0.25">
      <c r="A63" s="2" t="s">
        <v>39</v>
      </c>
      <c r="B63" s="3">
        <v>152.07</v>
      </c>
      <c r="C63" s="3">
        <v>43.37</v>
      </c>
      <c r="D63" s="3">
        <v>31.77</v>
      </c>
      <c r="E63" s="3">
        <v>18</v>
      </c>
      <c r="F63" s="3">
        <v>32</v>
      </c>
      <c r="G63" s="3">
        <v>85</v>
      </c>
      <c r="H63" s="3">
        <v>144</v>
      </c>
      <c r="I63" s="3">
        <v>97</v>
      </c>
      <c r="J63" s="3">
        <v>105</v>
      </c>
      <c r="K63" s="3">
        <v>163</v>
      </c>
    </row>
    <row r="64" spans="1:11" ht="14.4" x14ac:dyDescent="0.3">
      <c r="A64" s="2" t="s">
        <v>40</v>
      </c>
      <c r="B64" s="3">
        <v>430.73</v>
      </c>
      <c r="C64" s="7">
        <v>35.99</v>
      </c>
      <c r="D64" s="3">
        <v>108.42</v>
      </c>
      <c r="E64" s="3">
        <v>158</v>
      </c>
      <c r="F64" s="3">
        <v>2824</v>
      </c>
      <c r="G64" s="3">
        <v>294</v>
      </c>
      <c r="H64" s="3">
        <v>2515</v>
      </c>
      <c r="I64" s="3">
        <v>2345</v>
      </c>
      <c r="J64" s="3">
        <v>1988</v>
      </c>
      <c r="K64" s="3">
        <v>3506</v>
      </c>
    </row>
    <row r="65" spans="1:11" x14ac:dyDescent="0.25">
      <c r="A65" s="2" t="s">
        <v>41</v>
      </c>
      <c r="B65" s="3">
        <v>6636.05</v>
      </c>
      <c r="C65" s="3">
        <v>7967.87</v>
      </c>
      <c r="D65" s="3">
        <v>10003.02</v>
      </c>
      <c r="E65" s="3">
        <v>10735</v>
      </c>
      <c r="F65" s="3">
        <v>11065</v>
      </c>
      <c r="G65" s="3">
        <v>18265</v>
      </c>
      <c r="H65" s="3">
        <v>21363</v>
      </c>
      <c r="I65" s="3">
        <v>25396</v>
      </c>
      <c r="J65" s="3">
        <v>34490</v>
      </c>
      <c r="K65" s="3">
        <v>50014</v>
      </c>
    </row>
    <row r="66" spans="1:11" s="1" customFormat="1" x14ac:dyDescent="0.25">
      <c r="A66" s="1" t="s">
        <v>37</v>
      </c>
      <c r="B66" s="3">
        <v>8407.57</v>
      </c>
      <c r="C66" s="3">
        <v>9521.0400000000009</v>
      </c>
      <c r="D66" s="3">
        <v>11709.84</v>
      </c>
      <c r="E66" s="3">
        <v>13544</v>
      </c>
      <c r="F66" s="3">
        <v>16444</v>
      </c>
      <c r="G66" s="3">
        <v>21188</v>
      </c>
      <c r="H66" s="3">
        <v>27020</v>
      </c>
      <c r="I66" s="3">
        <v>31547</v>
      </c>
      <c r="J66" s="3">
        <v>40645</v>
      </c>
      <c r="K66" s="3">
        <v>60561</v>
      </c>
    </row>
    <row r="67" spans="1:11" x14ac:dyDescent="0.25">
      <c r="A67" s="2" t="s">
        <v>42</v>
      </c>
      <c r="B67" s="3">
        <v>207.6</v>
      </c>
      <c r="C67" s="3">
        <v>295.69</v>
      </c>
      <c r="D67" s="3">
        <v>420.45</v>
      </c>
      <c r="E67" s="3">
        <v>312</v>
      </c>
      <c r="F67" s="3">
        <v>366</v>
      </c>
      <c r="G67" s="3">
        <v>565</v>
      </c>
      <c r="H67" s="3">
        <v>674</v>
      </c>
      <c r="I67" s="3">
        <v>1018</v>
      </c>
      <c r="J67" s="3">
        <v>1068</v>
      </c>
      <c r="K67" s="3">
        <v>916</v>
      </c>
    </row>
    <row r="68" spans="1:11" ht="14.4" x14ac:dyDescent="0.3">
      <c r="A68" s="2" t="s">
        <v>43</v>
      </c>
      <c r="B68" s="7">
        <v>4925.74</v>
      </c>
      <c r="C68" s="7">
        <v>5924.84</v>
      </c>
      <c r="D68" s="7">
        <v>7038.82</v>
      </c>
      <c r="E68" s="7">
        <v>8103</v>
      </c>
      <c r="F68" s="7">
        <v>8408</v>
      </c>
      <c r="G68" s="7">
        <v>13609</v>
      </c>
      <c r="H68" s="7">
        <v>16584</v>
      </c>
      <c r="I68" s="7">
        <v>19051</v>
      </c>
      <c r="J68" s="7">
        <v>28184</v>
      </c>
      <c r="K68" s="7">
        <v>42743</v>
      </c>
    </row>
    <row r="69" spans="1:11" x14ac:dyDescent="0.25">
      <c r="A69" s="2" t="s">
        <v>44</v>
      </c>
      <c r="B69" s="3">
        <v>778.93</v>
      </c>
      <c r="C69" s="3">
        <v>617.91</v>
      </c>
      <c r="D69" s="3">
        <v>1066.48</v>
      </c>
      <c r="E69" s="3">
        <v>381</v>
      </c>
      <c r="F69" s="3">
        <v>560</v>
      </c>
      <c r="G69" s="3">
        <v>1573</v>
      </c>
      <c r="H69" s="3">
        <v>1343</v>
      </c>
      <c r="I69" s="3">
        <v>1526</v>
      </c>
      <c r="J69" s="3">
        <v>1584</v>
      </c>
      <c r="K69" s="3">
        <v>1917</v>
      </c>
    </row>
    <row r="70" spans="1:11" x14ac:dyDescent="0.25">
      <c r="A70" s="2" t="s">
        <v>45</v>
      </c>
      <c r="B70" s="3">
        <v>887786160</v>
      </c>
      <c r="C70" s="3">
        <v>887786160</v>
      </c>
      <c r="D70" s="3">
        <v>887786160</v>
      </c>
      <c r="E70" s="3">
        <v>887786160</v>
      </c>
      <c r="F70" s="3">
        <v>887786160</v>
      </c>
      <c r="G70" s="3">
        <v>887786160</v>
      </c>
      <c r="H70" s="3">
        <v>890000000</v>
      </c>
      <c r="I70" s="3">
        <v>890000000</v>
      </c>
      <c r="J70" s="3">
        <v>890000000</v>
      </c>
      <c r="K70" s="3">
        <v>890000000</v>
      </c>
    </row>
    <row r="71" spans="1:11" ht="13.8" x14ac:dyDescent="0.25">
      <c r="A71" s="2" t="s">
        <v>46</v>
      </c>
      <c r="B71" s="9"/>
      <c r="C71" s="9"/>
      <c r="G71" s="9"/>
      <c r="H71" s="9"/>
    </row>
    <row r="72" spans="1:11" x14ac:dyDescent="0.25">
      <c r="A72" s="2" t="s">
        <v>47</v>
      </c>
      <c r="B72" s="3">
        <v>1</v>
      </c>
      <c r="C72" s="3">
        <v>1</v>
      </c>
      <c r="D72" s="3">
        <v>1</v>
      </c>
      <c r="E72" s="3">
        <v>1</v>
      </c>
      <c r="F72" s="3">
        <v>1</v>
      </c>
      <c r="G72" s="3">
        <v>1</v>
      </c>
      <c r="H72" s="3">
        <v>1</v>
      </c>
      <c r="I72" s="3">
        <v>1</v>
      </c>
      <c r="J72" s="3">
        <v>1</v>
      </c>
      <c r="K72" s="3">
        <v>1</v>
      </c>
    </row>
    <row r="73" spans="1:11" x14ac:dyDescent="0.25">
      <c r="H73" s="2">
        <f>H62-G62+H45</f>
        <v>638</v>
      </c>
      <c r="I73" s="2">
        <f t="shared" ref="I73:K73" si="3">I62-H62+I45</f>
        <v>900</v>
      </c>
      <c r="J73" s="2">
        <f t="shared" si="3"/>
        <v>560</v>
      </c>
      <c r="K73" s="2">
        <f t="shared" si="3"/>
        <v>3062</v>
      </c>
    </row>
    <row r="80" spans="1:11" x14ac:dyDescent="0.25">
      <c r="A80" s="1" t="s">
        <v>48</v>
      </c>
    </row>
    <row r="81" spans="1:12" s="6" customFormat="1" x14ac:dyDescent="0.25">
      <c r="A81" s="4" t="s">
        <v>11</v>
      </c>
      <c r="B81" s="5">
        <v>42825</v>
      </c>
      <c r="C81" s="5">
        <v>43190</v>
      </c>
      <c r="D81" s="5">
        <v>43555</v>
      </c>
      <c r="E81" s="5">
        <v>43921</v>
      </c>
      <c r="F81" s="5">
        <v>44286</v>
      </c>
      <c r="G81" s="5">
        <v>44651</v>
      </c>
      <c r="H81" s="5">
        <v>45016</v>
      </c>
      <c r="I81" s="5">
        <v>45382</v>
      </c>
      <c r="J81" s="5">
        <v>45747</v>
      </c>
      <c r="K81" s="5">
        <v>46112</v>
      </c>
      <c r="L81" s="5"/>
    </row>
    <row r="82" spans="1:12" s="1" customFormat="1" x14ac:dyDescent="0.25">
      <c r="A82" s="2" t="s">
        <v>49</v>
      </c>
      <c r="B82" s="3">
        <v>1712.3</v>
      </c>
      <c r="C82" s="3">
        <v>-51.12</v>
      </c>
      <c r="D82" s="3">
        <v>1242.92</v>
      </c>
      <c r="E82" s="3">
        <v>-348</v>
      </c>
      <c r="F82" s="3">
        <v>4139</v>
      </c>
      <c r="G82" s="3">
        <v>-724</v>
      </c>
      <c r="H82" s="3">
        <v>1370</v>
      </c>
      <c r="I82" s="3">
        <v>1695</v>
      </c>
      <c r="J82" s="3">
        <v>-541</v>
      </c>
      <c r="K82" s="3">
        <v>5590</v>
      </c>
    </row>
    <row r="83" spans="1:12" x14ac:dyDescent="0.25">
      <c r="A83" s="2" t="s">
        <v>50</v>
      </c>
      <c r="B83" s="3">
        <v>-953.15</v>
      </c>
      <c r="C83" s="3">
        <v>97.62</v>
      </c>
      <c r="D83" s="3">
        <v>-796.61</v>
      </c>
      <c r="E83" s="3">
        <v>235</v>
      </c>
      <c r="F83" s="3">
        <v>-2799</v>
      </c>
      <c r="G83" s="3">
        <v>1165</v>
      </c>
      <c r="H83" s="3">
        <v>-1814</v>
      </c>
      <c r="I83" s="3">
        <v>-189</v>
      </c>
      <c r="J83" s="3">
        <v>546</v>
      </c>
      <c r="K83" s="3">
        <v>-2965</v>
      </c>
    </row>
    <row r="84" spans="1:12" x14ac:dyDescent="0.25">
      <c r="A84" s="2" t="s">
        <v>51</v>
      </c>
      <c r="B84" s="3">
        <v>-165.6</v>
      </c>
      <c r="C84" s="3">
        <v>-252.45</v>
      </c>
      <c r="D84" s="3">
        <v>-488.83</v>
      </c>
      <c r="E84" s="3">
        <v>-242</v>
      </c>
      <c r="F84" s="3">
        <v>-1234</v>
      </c>
      <c r="G84" s="3">
        <v>-403</v>
      </c>
      <c r="H84" s="3">
        <v>457</v>
      </c>
      <c r="I84" s="3">
        <v>-1329</v>
      </c>
      <c r="J84" s="3">
        <v>-7</v>
      </c>
      <c r="K84" s="3">
        <v>-2159</v>
      </c>
    </row>
    <row r="85" spans="1:12" s="1" customFormat="1" x14ac:dyDescent="0.25">
      <c r="A85" s="2" t="s">
        <v>52</v>
      </c>
      <c r="B85" s="3">
        <v>593.54999999999995</v>
      </c>
      <c r="C85" s="3">
        <v>-205.95</v>
      </c>
      <c r="D85" s="3">
        <v>-42.52</v>
      </c>
      <c r="E85" s="3">
        <v>-355</v>
      </c>
      <c r="F85" s="3">
        <v>106</v>
      </c>
      <c r="G85" s="3">
        <v>38</v>
      </c>
      <c r="H85" s="3">
        <v>13</v>
      </c>
      <c r="I85" s="3">
        <v>177</v>
      </c>
      <c r="J85" s="3">
        <v>-2</v>
      </c>
      <c r="K85" s="3">
        <v>466</v>
      </c>
    </row>
    <row r="90" spans="1:12" s="1" customFormat="1" x14ac:dyDescent="0.25">
      <c r="A90" s="1" t="s">
        <v>53</v>
      </c>
      <c r="B90" s="3">
        <v>462.75</v>
      </c>
      <c r="C90" s="3">
        <v>942.3</v>
      </c>
      <c r="D90" s="3">
        <v>1141.8499999999999</v>
      </c>
      <c r="E90" s="3">
        <v>933.7</v>
      </c>
      <c r="F90" s="3">
        <v>1558.05</v>
      </c>
      <c r="G90" s="3">
        <v>2536.15</v>
      </c>
      <c r="H90" s="3">
        <v>2514.9</v>
      </c>
      <c r="I90" s="3">
        <v>3801.8</v>
      </c>
      <c r="J90" s="3">
        <v>3063.35</v>
      </c>
      <c r="K90" s="3">
        <v>3951.4</v>
      </c>
    </row>
    <row r="92" spans="1:12" s="1" customFormat="1" x14ac:dyDescent="0.25">
      <c r="A92" s="1" t="s">
        <v>54</v>
      </c>
    </row>
    <row r="93" spans="1:12" x14ac:dyDescent="0.25">
      <c r="A93" s="2" t="s">
        <v>55</v>
      </c>
      <c r="B93" s="10">
        <v>88.78</v>
      </c>
      <c r="C93" s="10">
        <v>88.78</v>
      </c>
      <c r="D93" s="10">
        <v>88.78</v>
      </c>
      <c r="E93" s="10">
        <v>88.78</v>
      </c>
      <c r="F93" s="10">
        <v>88.78</v>
      </c>
      <c r="G93" s="10">
        <v>88.78</v>
      </c>
      <c r="H93" s="10">
        <v>88.78</v>
      </c>
      <c r="I93" s="10">
        <v>88.78</v>
      </c>
      <c r="J93" s="10">
        <v>88.78</v>
      </c>
      <c r="K93" s="10">
        <v>88.78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53704CA6-975E-49B1-B117-50092339EC09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CD3EB-6FDB-47A8-9974-5C737D31BA26}">
  <sheetPr>
    <tabColor rgb="FF002060"/>
  </sheetPr>
  <dimension ref="A1"/>
  <sheetViews>
    <sheetView workbookViewId="0">
      <selection activeCell="L27" sqref="L27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3BCB5-5379-41FD-BC49-963F575ED4E5}">
  <dimension ref="B1:V109"/>
  <sheetViews>
    <sheetView workbookViewId="0">
      <selection activeCell="M6" sqref="M6"/>
    </sheetView>
  </sheetViews>
  <sheetFormatPr defaultRowHeight="14.4" x14ac:dyDescent="0.3"/>
  <cols>
    <col min="1" max="1" width="1.88671875" customWidth="1"/>
    <col min="2" max="2" width="15.6640625" customWidth="1"/>
    <col min="3" max="3" width="15.109375" customWidth="1"/>
    <col min="9" max="9" width="20.6640625" customWidth="1"/>
    <col min="10" max="10" width="18.5546875" customWidth="1"/>
  </cols>
  <sheetData>
    <row r="1" spans="2:15" x14ac:dyDescent="0.3">
      <c r="B1" s="14" t="s">
        <v>127</v>
      </c>
    </row>
    <row r="3" spans="2:15" x14ac:dyDescent="0.3">
      <c r="B3" s="120" t="s">
        <v>126</v>
      </c>
      <c r="C3" s="120"/>
      <c r="D3" s="120"/>
      <c r="F3" s="120" t="s">
        <v>122</v>
      </c>
      <c r="G3" s="120"/>
      <c r="I3" s="120" t="s">
        <v>216</v>
      </c>
      <c r="J3" s="120"/>
    </row>
    <row r="5" spans="2:15" x14ac:dyDescent="0.3">
      <c r="B5" s="29" t="s">
        <v>123</v>
      </c>
      <c r="C5" s="30" t="s">
        <v>124</v>
      </c>
      <c r="D5" s="30" t="s">
        <v>125</v>
      </c>
      <c r="F5" s="30" t="s">
        <v>124</v>
      </c>
      <c r="G5" s="30" t="s">
        <v>125</v>
      </c>
      <c r="I5" t="s">
        <v>217</v>
      </c>
      <c r="J5" s="37">
        <f>M5</f>
        <v>1.0228208451062253</v>
      </c>
      <c r="L5" t="s">
        <v>215</v>
      </c>
      <c r="M5" s="37">
        <f>O31</f>
        <v>1.0228208451062253</v>
      </c>
    </row>
    <row r="6" spans="2:15" x14ac:dyDescent="0.3">
      <c r="B6" s="32">
        <v>46149</v>
      </c>
      <c r="C6">
        <v>476.15</v>
      </c>
      <c r="D6" s="16">
        <f>C6/C7-1</f>
        <v>0.24630283994241586</v>
      </c>
      <c r="F6" s="31">
        <v>24206.9</v>
      </c>
      <c r="G6" s="16">
        <f>F6/F7-1</f>
        <v>-2.6348479760699428E-3</v>
      </c>
      <c r="I6" t="s">
        <v>218</v>
      </c>
      <c r="J6" s="38">
        <v>0.75</v>
      </c>
      <c r="L6" t="s">
        <v>214</v>
      </c>
      <c r="M6" s="37">
        <f>SLOPE(D6:D108,G6:G108)</f>
        <v>1.6187190179552349</v>
      </c>
    </row>
    <row r="7" spans="2:15" x14ac:dyDescent="0.3">
      <c r="B7" s="32" t="s">
        <v>190</v>
      </c>
      <c r="C7">
        <v>382.05</v>
      </c>
      <c r="D7" s="16">
        <f t="shared" ref="D7:D70" si="0">C7/C8-1</f>
        <v>1.1249338274219145E-2</v>
      </c>
      <c r="F7" s="31">
        <v>24270.85</v>
      </c>
      <c r="G7" s="16">
        <f t="shared" ref="G7:G70" si="1">F7/F8-1</f>
        <v>8.9312437645492349E-3</v>
      </c>
    </row>
    <row r="8" spans="2:15" x14ac:dyDescent="0.3">
      <c r="B8" s="32" t="s">
        <v>189</v>
      </c>
      <c r="C8">
        <v>377.8</v>
      </c>
      <c r="D8" s="16">
        <f t="shared" si="0"/>
        <v>-1.4863102998696198E-2</v>
      </c>
      <c r="F8" s="31">
        <v>24056</v>
      </c>
      <c r="G8" s="16">
        <f t="shared" si="1"/>
        <v>1.7865248551833801E-3</v>
      </c>
      <c r="I8" t="s">
        <v>219</v>
      </c>
      <c r="J8" s="37">
        <v>1</v>
      </c>
    </row>
    <row r="9" spans="2:15" x14ac:dyDescent="0.3">
      <c r="B9" s="32" t="s">
        <v>188</v>
      </c>
      <c r="C9">
        <v>383.5</v>
      </c>
      <c r="D9" s="16">
        <f t="shared" si="0"/>
        <v>0.11240029006526475</v>
      </c>
      <c r="F9" s="31">
        <v>24013.1</v>
      </c>
      <c r="G9" s="16">
        <f t="shared" si="1"/>
        <v>1.6517870371546062E-2</v>
      </c>
      <c r="I9" t="s">
        <v>220</v>
      </c>
      <c r="J9" s="38">
        <v>0.25</v>
      </c>
    </row>
    <row r="10" spans="2:15" x14ac:dyDescent="0.3">
      <c r="B10" s="32">
        <v>46209</v>
      </c>
      <c r="C10">
        <v>344.75</v>
      </c>
      <c r="D10" s="16">
        <f t="shared" si="0"/>
        <v>-7.2878848998252033E-2</v>
      </c>
      <c r="F10" s="31">
        <v>23622.9</v>
      </c>
      <c r="G10" s="16">
        <f t="shared" si="1"/>
        <v>1.0964321020940027E-2</v>
      </c>
    </row>
    <row r="11" spans="2:15" x14ac:dyDescent="0.3">
      <c r="B11" s="32" t="s">
        <v>187</v>
      </c>
      <c r="C11">
        <v>371.85</v>
      </c>
      <c r="D11" s="16">
        <f t="shared" si="0"/>
        <v>4.731727925644269E-2</v>
      </c>
      <c r="F11" s="31">
        <v>23366.7</v>
      </c>
      <c r="G11" s="16">
        <f t="shared" si="1"/>
        <v>-7.6886326719113329E-3</v>
      </c>
      <c r="I11" s="39" t="s">
        <v>221</v>
      </c>
      <c r="J11" s="40">
        <f>J5*J6+J8*J9</f>
        <v>1.017115633829669</v>
      </c>
    </row>
    <row r="12" spans="2:15" x14ac:dyDescent="0.3">
      <c r="B12" s="32" t="s">
        <v>186</v>
      </c>
      <c r="C12">
        <v>355.05</v>
      </c>
      <c r="D12" s="16">
        <f t="shared" si="0"/>
        <v>7.5198637911464417E-3</v>
      </c>
      <c r="F12" s="31">
        <v>23547.75</v>
      </c>
      <c r="G12" s="16">
        <f t="shared" si="1"/>
        <v>-7.2325068615008981E-3</v>
      </c>
    </row>
    <row r="13" spans="2:15" x14ac:dyDescent="0.3">
      <c r="B13" s="32" t="s">
        <v>185</v>
      </c>
      <c r="C13">
        <v>352.4</v>
      </c>
      <c r="D13" s="16">
        <f t="shared" si="0"/>
        <v>-1.8410989944768197E-3</v>
      </c>
      <c r="F13" s="31">
        <v>23719.3</v>
      </c>
      <c r="G13" s="16">
        <f t="shared" si="1"/>
        <v>3.2059551250871454E-3</v>
      </c>
    </row>
    <row r="14" spans="2:15" x14ac:dyDescent="0.3">
      <c r="B14" s="32">
        <v>46300</v>
      </c>
      <c r="C14">
        <v>353.05</v>
      </c>
      <c r="D14" s="16">
        <f t="shared" si="0"/>
        <v>-0.16841361441526326</v>
      </c>
      <c r="F14" s="31">
        <v>23643.5</v>
      </c>
      <c r="G14" s="16">
        <f t="shared" si="1"/>
        <v>-2.2032043977225579E-2</v>
      </c>
      <c r="N14" t="s">
        <v>191</v>
      </c>
    </row>
    <row r="15" spans="2:15" ht="15" thickBot="1" x14ac:dyDescent="0.35">
      <c r="B15" s="32">
        <v>46086</v>
      </c>
      <c r="C15">
        <v>424.55</v>
      </c>
      <c r="D15" s="16">
        <f t="shared" si="0"/>
        <v>2.8588734100545077E-2</v>
      </c>
      <c r="F15" s="31">
        <v>24176.15</v>
      </c>
      <c r="G15" s="16">
        <f t="shared" si="1"/>
        <v>7.4424264143633234E-3</v>
      </c>
    </row>
    <row r="16" spans="2:15" x14ac:dyDescent="0.3">
      <c r="B16" s="32" t="s">
        <v>184</v>
      </c>
      <c r="C16">
        <v>412.75</v>
      </c>
      <c r="D16" s="16">
        <f t="shared" si="0"/>
        <v>1.838144584258572E-2</v>
      </c>
      <c r="F16" s="31">
        <v>23997.55</v>
      </c>
      <c r="G16" s="16">
        <f t="shared" si="1"/>
        <v>4.167721499124255E-3</v>
      </c>
      <c r="N16" s="35" t="s">
        <v>192</v>
      </c>
      <c r="O16" s="35"/>
    </row>
    <row r="17" spans="2:22" x14ac:dyDescent="0.3">
      <c r="B17" s="32" t="s">
        <v>183</v>
      </c>
      <c r="C17">
        <v>405.3</v>
      </c>
      <c r="D17" s="16">
        <f t="shared" si="0"/>
        <v>-5.0486119245636618E-2</v>
      </c>
      <c r="F17" s="31">
        <v>23897.95</v>
      </c>
      <c r="G17" s="16">
        <f t="shared" si="1"/>
        <v>-1.8707744866764742E-2</v>
      </c>
      <c r="N17" t="s">
        <v>193</v>
      </c>
      <c r="O17">
        <v>0.57259707463956522</v>
      </c>
    </row>
    <row r="18" spans="2:22" x14ac:dyDescent="0.3">
      <c r="B18" s="32">
        <v>46360</v>
      </c>
      <c r="C18">
        <v>426.85</v>
      </c>
      <c r="D18" s="16">
        <f t="shared" si="0"/>
        <v>-4.9649337637760138E-2</v>
      </c>
      <c r="F18" s="31">
        <v>24353.55</v>
      </c>
      <c r="G18" s="16">
        <f t="shared" si="1"/>
        <v>1.2596359342386565E-2</v>
      </c>
      <c r="N18" t="s">
        <v>194</v>
      </c>
      <c r="O18">
        <v>0.32786740988578778</v>
      </c>
    </row>
    <row r="19" spans="2:22" x14ac:dyDescent="0.3">
      <c r="B19" s="32">
        <v>46146</v>
      </c>
      <c r="C19">
        <v>449.15</v>
      </c>
      <c r="D19" s="16">
        <f t="shared" si="0"/>
        <v>0.13896285025992117</v>
      </c>
      <c r="F19" s="31">
        <v>24050.6</v>
      </c>
      <c r="G19" s="16">
        <f t="shared" si="1"/>
        <v>5.8886721759689342E-2</v>
      </c>
      <c r="N19" t="s">
        <v>195</v>
      </c>
      <c r="O19">
        <v>0.32114608398464567</v>
      </c>
    </row>
    <row r="20" spans="2:22" x14ac:dyDescent="0.3">
      <c r="B20" s="32" t="s">
        <v>182</v>
      </c>
      <c r="C20">
        <v>394.35</v>
      </c>
      <c r="D20" s="16">
        <f t="shared" si="0"/>
        <v>1.5449980687524123E-2</v>
      </c>
      <c r="F20" s="31">
        <v>22713.1</v>
      </c>
      <c r="G20" s="16">
        <f t="shared" si="1"/>
        <v>-4.6670406142088616E-3</v>
      </c>
      <c r="N20" t="s">
        <v>196</v>
      </c>
      <c r="O20">
        <v>2.6929189135262509E-2</v>
      </c>
    </row>
    <row r="21" spans="2:22" ht="15" thickBot="1" x14ac:dyDescent="0.35">
      <c r="B21" s="32" t="s">
        <v>181</v>
      </c>
      <c r="C21">
        <v>388.35</v>
      </c>
      <c r="D21" s="16">
        <f t="shared" si="0"/>
        <v>1.4763522341259661E-2</v>
      </c>
      <c r="F21" s="31">
        <v>22819.599999999999</v>
      </c>
      <c r="G21" s="16">
        <f t="shared" si="1"/>
        <v>-1.275822535637805E-2</v>
      </c>
      <c r="N21" s="33" t="s">
        <v>197</v>
      </c>
      <c r="O21" s="33">
        <v>102</v>
      </c>
    </row>
    <row r="22" spans="2:22" x14ac:dyDescent="0.3">
      <c r="B22" s="32" t="s">
        <v>180</v>
      </c>
      <c r="C22">
        <v>382.7</v>
      </c>
      <c r="D22" s="16">
        <f t="shared" si="0"/>
        <v>9.7625329815302919E-3</v>
      </c>
      <c r="F22" s="31">
        <v>23114.5</v>
      </c>
      <c r="G22" s="16">
        <f t="shared" si="1"/>
        <v>-1.5809184012853805E-3</v>
      </c>
    </row>
    <row r="23" spans="2:22" ht="15" thickBot="1" x14ac:dyDescent="0.35">
      <c r="B23" s="32">
        <v>46237</v>
      </c>
      <c r="C23">
        <v>379</v>
      </c>
      <c r="D23" s="16">
        <f t="shared" si="0"/>
        <v>-4.1840475287574286E-2</v>
      </c>
      <c r="F23" s="31">
        <v>23151.1</v>
      </c>
      <c r="G23" s="16">
        <f t="shared" si="1"/>
        <v>-5.3142171207482991E-2</v>
      </c>
      <c r="N23" t="s">
        <v>198</v>
      </c>
    </row>
    <row r="24" spans="2:22" x14ac:dyDescent="0.3">
      <c r="B24" s="32">
        <v>46025</v>
      </c>
      <c r="C24">
        <v>395.55</v>
      </c>
      <c r="D24" s="16">
        <f t="shared" si="0"/>
        <v>-3.5479151426481392E-2</v>
      </c>
      <c r="F24" s="31">
        <v>24450.45</v>
      </c>
      <c r="G24" s="16">
        <f t="shared" si="1"/>
        <v>-2.892132818876314E-2</v>
      </c>
      <c r="N24" s="34"/>
      <c r="O24" s="34" t="s">
        <v>202</v>
      </c>
      <c r="P24" s="34" t="s">
        <v>203</v>
      </c>
      <c r="Q24" s="34" t="s">
        <v>204</v>
      </c>
      <c r="R24" s="34" t="s">
        <v>205</v>
      </c>
      <c r="S24" s="34" t="s">
        <v>206</v>
      </c>
    </row>
    <row r="25" spans="2:22" x14ac:dyDescent="0.3">
      <c r="B25" s="32" t="s">
        <v>179</v>
      </c>
      <c r="C25">
        <v>410.1</v>
      </c>
      <c r="D25" s="16">
        <f t="shared" si="0"/>
        <v>2.2183449651046905E-2</v>
      </c>
      <c r="F25" s="31">
        <v>25178.65</v>
      </c>
      <c r="G25" s="16">
        <f t="shared" si="1"/>
        <v>-1.5353179840641329E-2</v>
      </c>
      <c r="N25" t="s">
        <v>199</v>
      </c>
      <c r="O25">
        <v>1</v>
      </c>
      <c r="P25">
        <v>3.5374462457200648E-2</v>
      </c>
      <c r="Q25">
        <v>3.5374462457200648E-2</v>
      </c>
      <c r="R25">
        <v>48.780168482839798</v>
      </c>
      <c r="S25">
        <v>3.2167465361101175E-10</v>
      </c>
    </row>
    <row r="26" spans="2:22" x14ac:dyDescent="0.3">
      <c r="B26" s="32" t="s">
        <v>178</v>
      </c>
      <c r="C26">
        <v>401.2</v>
      </c>
      <c r="D26" s="16">
        <f t="shared" si="0"/>
        <v>-4.0306183470876777E-2</v>
      </c>
      <c r="F26" s="31">
        <v>25571.25</v>
      </c>
      <c r="G26" s="16">
        <f t="shared" si="1"/>
        <v>3.9319071418195684E-3</v>
      </c>
      <c r="N26" t="s">
        <v>200</v>
      </c>
      <c r="O26">
        <v>100</v>
      </c>
      <c r="P26">
        <v>7.251812274827403E-2</v>
      </c>
      <c r="Q26">
        <v>7.2518122748274031E-4</v>
      </c>
    </row>
    <row r="27" spans="2:22" ht="15" thickBot="1" x14ac:dyDescent="0.35">
      <c r="B27" s="32">
        <v>46236</v>
      </c>
      <c r="C27">
        <v>418.05</v>
      </c>
      <c r="D27" s="16">
        <f t="shared" si="0"/>
        <v>9.9408284023668747E-2</v>
      </c>
      <c r="F27" s="31">
        <v>25471.1</v>
      </c>
      <c r="G27" s="16">
        <f t="shared" si="1"/>
        <v>-8.6636023616685209E-3</v>
      </c>
      <c r="N27" s="33" t="s">
        <v>37</v>
      </c>
      <c r="O27" s="33">
        <v>101</v>
      </c>
      <c r="P27" s="33">
        <v>0.10789258520547468</v>
      </c>
      <c r="Q27" s="33"/>
      <c r="R27" s="33"/>
      <c r="S27" s="33"/>
    </row>
    <row r="28" spans="2:22" ht="15" thickBot="1" x14ac:dyDescent="0.35">
      <c r="B28" s="32">
        <v>46024</v>
      </c>
      <c r="C28">
        <v>380.25</v>
      </c>
      <c r="D28" s="16">
        <f t="shared" si="0"/>
        <v>5.1430941518042284E-2</v>
      </c>
      <c r="F28" s="31">
        <v>25693.7</v>
      </c>
      <c r="G28" s="16">
        <f t="shared" si="1"/>
        <v>1.4733034104574605E-2</v>
      </c>
    </row>
    <row r="29" spans="2:22" x14ac:dyDescent="0.3">
      <c r="B29" s="32" t="s">
        <v>177</v>
      </c>
      <c r="C29">
        <v>361.65</v>
      </c>
      <c r="D29" s="16">
        <f t="shared" si="0"/>
        <v>-1.5114379084967378E-2</v>
      </c>
      <c r="F29" s="31">
        <v>25320.65</v>
      </c>
      <c r="G29" s="16">
        <f t="shared" si="1"/>
        <v>1.0858868641623332E-2</v>
      </c>
      <c r="N29" s="34"/>
      <c r="O29" s="34" t="s">
        <v>207</v>
      </c>
      <c r="P29" s="34" t="s">
        <v>196</v>
      </c>
      <c r="Q29" s="34" t="s">
        <v>208</v>
      </c>
      <c r="R29" s="34" t="s">
        <v>209</v>
      </c>
      <c r="S29" s="34" t="s">
        <v>210</v>
      </c>
      <c r="T29" s="34" t="s">
        <v>211</v>
      </c>
      <c r="U29" s="34" t="s">
        <v>212</v>
      </c>
      <c r="V29" s="34" t="s">
        <v>213</v>
      </c>
    </row>
    <row r="30" spans="2:22" x14ac:dyDescent="0.3">
      <c r="B30" s="32" t="s">
        <v>176</v>
      </c>
      <c r="C30">
        <v>367.2</v>
      </c>
      <c r="D30" s="16">
        <f t="shared" si="0"/>
        <v>-0.21454545454545459</v>
      </c>
      <c r="F30" s="31">
        <v>25048.65</v>
      </c>
      <c r="G30" s="16">
        <f t="shared" si="1"/>
        <v>-2.5130038315816394E-2</v>
      </c>
      <c r="N30" t="s">
        <v>201</v>
      </c>
      <c r="O30">
        <v>3.5484136189211498E-3</v>
      </c>
      <c r="P30">
        <v>2.666402237730129E-3</v>
      </c>
      <c r="Q30">
        <v>1.3307870690739687</v>
      </c>
      <c r="R30">
        <v>0.18628553913705331</v>
      </c>
      <c r="S30">
        <v>-1.7416524776629012E-3</v>
      </c>
      <c r="T30">
        <v>8.8384797155052E-3</v>
      </c>
      <c r="U30">
        <v>-1.7416524776629012E-3</v>
      </c>
      <c r="V30">
        <v>8.8384797155052E-3</v>
      </c>
    </row>
    <row r="31" spans="2:22" ht="15" thickBot="1" x14ac:dyDescent="0.35">
      <c r="B31" s="32">
        <v>46327</v>
      </c>
      <c r="C31">
        <v>467.5</v>
      </c>
      <c r="D31" s="16">
        <f t="shared" si="0"/>
        <v>-7.7727362398895217E-2</v>
      </c>
      <c r="F31" s="31">
        <v>25694.35</v>
      </c>
      <c r="G31" s="16">
        <f t="shared" si="1"/>
        <v>4.3024066222008273E-4</v>
      </c>
      <c r="N31" s="33">
        <v>-2.6348479760699428E-3</v>
      </c>
      <c r="O31" s="33">
        <v>1.0228208451062253</v>
      </c>
      <c r="P31" s="33">
        <v>0.1464461377266465</v>
      </c>
      <c r="Q31" s="33">
        <v>6.9842800976793438</v>
      </c>
      <c r="R31" s="33">
        <v>3.2167465361101413E-10</v>
      </c>
      <c r="S31" s="33">
        <v>0.73227587885878065</v>
      </c>
      <c r="T31" s="33">
        <v>1.3133658113536699</v>
      </c>
      <c r="U31" s="33">
        <v>0.73227587885878065</v>
      </c>
      <c r="V31" s="33">
        <v>1.3133658113536699</v>
      </c>
    </row>
    <row r="32" spans="2:22" x14ac:dyDescent="0.3">
      <c r="B32" s="32">
        <v>46113</v>
      </c>
      <c r="C32">
        <v>506.9</v>
      </c>
      <c r="D32" s="16">
        <f t="shared" si="0"/>
        <v>2.259431107524712E-2</v>
      </c>
      <c r="F32" s="31">
        <v>25683.3</v>
      </c>
      <c r="G32" s="16">
        <f t="shared" si="1"/>
        <v>-2.4507616256877029E-2</v>
      </c>
    </row>
    <row r="33" spans="2:7" x14ac:dyDescent="0.3">
      <c r="B33" s="32" t="s">
        <v>175</v>
      </c>
      <c r="C33">
        <v>495.7</v>
      </c>
      <c r="D33" s="16">
        <f t="shared" si="0"/>
        <v>9.2639723098850713E-3</v>
      </c>
      <c r="F33" s="31">
        <v>26328.55</v>
      </c>
      <c r="G33" s="16">
        <f t="shared" si="1"/>
        <v>1.0991732681061128E-2</v>
      </c>
    </row>
    <row r="34" spans="2:7" x14ac:dyDescent="0.3">
      <c r="B34" s="32" t="s">
        <v>174</v>
      </c>
      <c r="C34">
        <v>491.15</v>
      </c>
      <c r="D34" s="16">
        <f t="shared" si="0"/>
        <v>1.2993709394657937E-2</v>
      </c>
      <c r="F34" s="31">
        <v>26042.3</v>
      </c>
      <c r="G34" s="16">
        <f t="shared" si="1"/>
        <v>2.9230081952060782E-3</v>
      </c>
    </row>
    <row r="35" spans="2:7" x14ac:dyDescent="0.3">
      <c r="B35" s="32" t="s">
        <v>173</v>
      </c>
      <c r="C35">
        <v>484.85</v>
      </c>
      <c r="D35" s="16">
        <f t="shared" si="0"/>
        <v>1.1579386605466313E-2</v>
      </c>
      <c r="F35" s="31">
        <v>25966.400000000001</v>
      </c>
      <c r="G35" s="16">
        <f t="shared" si="1"/>
        <v>-3.0924925951022475E-3</v>
      </c>
    </row>
    <row r="36" spans="2:7" x14ac:dyDescent="0.3">
      <c r="B36" s="32">
        <v>45850</v>
      </c>
      <c r="C36">
        <v>479.3</v>
      </c>
      <c r="D36" s="16">
        <f t="shared" si="0"/>
        <v>-2.680203045685281E-2</v>
      </c>
      <c r="F36" s="31">
        <v>26046.95</v>
      </c>
      <c r="G36" s="16">
        <f t="shared" si="1"/>
        <v>-5.3271825696113995E-3</v>
      </c>
    </row>
    <row r="37" spans="2:7" x14ac:dyDescent="0.3">
      <c r="B37" s="32" t="s">
        <v>172</v>
      </c>
      <c r="C37">
        <v>492.5</v>
      </c>
      <c r="D37" s="16">
        <f t="shared" si="0"/>
        <v>-2.54279212427031E-2</v>
      </c>
      <c r="F37" s="31">
        <v>26186.45</v>
      </c>
      <c r="G37" s="16">
        <f t="shared" si="1"/>
        <v>-6.297000910202577E-4</v>
      </c>
    </row>
    <row r="38" spans="2:7" x14ac:dyDescent="0.3">
      <c r="B38" s="32" t="s">
        <v>171</v>
      </c>
      <c r="C38">
        <v>505.35</v>
      </c>
      <c r="D38" s="16">
        <f t="shared" si="0"/>
        <v>1.7927283714372022E-2</v>
      </c>
      <c r="F38" s="31">
        <v>26202.95</v>
      </c>
      <c r="G38" s="16">
        <f t="shared" si="1"/>
        <v>5.1710612375637233E-3</v>
      </c>
    </row>
    <row r="39" spans="2:7" x14ac:dyDescent="0.3">
      <c r="B39" s="32" t="s">
        <v>170</v>
      </c>
      <c r="C39">
        <v>496.45</v>
      </c>
      <c r="D39" s="16">
        <f t="shared" si="0"/>
        <v>1.9172552976791657E-3</v>
      </c>
      <c r="F39" s="31">
        <v>26068.15</v>
      </c>
      <c r="G39" s="16">
        <f t="shared" si="1"/>
        <v>6.1018793865701415E-3</v>
      </c>
    </row>
    <row r="40" spans="2:7" x14ac:dyDescent="0.3">
      <c r="B40" s="32">
        <v>45911</v>
      </c>
      <c r="C40">
        <v>495.5</v>
      </c>
      <c r="D40" s="16">
        <f t="shared" si="0"/>
        <v>-3.3736349453978076E-2</v>
      </c>
      <c r="F40" s="31">
        <v>25910.05</v>
      </c>
      <c r="G40" s="16">
        <f t="shared" si="1"/>
        <v>1.6387301263518728E-2</v>
      </c>
    </row>
    <row r="41" spans="2:7" x14ac:dyDescent="0.3">
      <c r="B41" s="32">
        <v>45699</v>
      </c>
      <c r="C41">
        <v>512.79999999999995</v>
      </c>
      <c r="D41" s="16">
        <f t="shared" si="0"/>
        <v>6.0820090249165126E-3</v>
      </c>
      <c r="F41" s="31">
        <v>25492.3</v>
      </c>
      <c r="G41" s="16">
        <f t="shared" si="1"/>
        <v>-8.9339517379996014E-3</v>
      </c>
    </row>
    <row r="42" spans="2:7" x14ac:dyDescent="0.3">
      <c r="B42" s="32" t="s">
        <v>169</v>
      </c>
      <c r="C42">
        <v>509.7</v>
      </c>
      <c r="D42" s="16">
        <f t="shared" si="0"/>
        <v>2.9073288915808515E-2</v>
      </c>
      <c r="F42" s="31">
        <v>25722.1</v>
      </c>
      <c r="G42" s="16">
        <f t="shared" si="1"/>
        <v>-2.8319277073404203E-3</v>
      </c>
    </row>
    <row r="43" spans="2:7" x14ac:dyDescent="0.3">
      <c r="B43" s="32" t="s">
        <v>168</v>
      </c>
      <c r="C43">
        <v>495.3</v>
      </c>
      <c r="D43" s="16">
        <f t="shared" si="0"/>
        <v>1.1125854853526462E-2</v>
      </c>
      <c r="F43" s="31">
        <v>25795.15</v>
      </c>
      <c r="G43" s="16">
        <f t="shared" si="1"/>
        <v>3.3177945417808274E-3</v>
      </c>
    </row>
    <row r="44" spans="2:7" x14ac:dyDescent="0.3">
      <c r="B44" s="32">
        <v>46001</v>
      </c>
      <c r="C44">
        <v>489.85</v>
      </c>
      <c r="D44" s="16">
        <f t="shared" si="0"/>
        <v>1.0312467773538225E-2</v>
      </c>
      <c r="F44" s="31">
        <v>25709.85</v>
      </c>
      <c r="G44" s="16">
        <f t="shared" si="1"/>
        <v>1.6788377459675319E-2</v>
      </c>
    </row>
    <row r="45" spans="2:7" x14ac:dyDescent="0.3">
      <c r="B45" s="32">
        <v>45787</v>
      </c>
      <c r="C45">
        <v>484.85</v>
      </c>
      <c r="D45" s="16">
        <f t="shared" si="0"/>
        <v>-1.4832876155643548E-2</v>
      </c>
      <c r="F45" s="31">
        <v>25285.35</v>
      </c>
      <c r="G45" s="16">
        <f t="shared" si="1"/>
        <v>1.5710455225604214E-2</v>
      </c>
    </row>
    <row r="46" spans="2:7" x14ac:dyDescent="0.3">
      <c r="B46" s="32" t="s">
        <v>167</v>
      </c>
      <c r="C46">
        <v>492.15</v>
      </c>
      <c r="D46" s="16">
        <f t="shared" si="0"/>
        <v>7.9749890302764248E-2</v>
      </c>
      <c r="F46" s="31">
        <v>24894.25</v>
      </c>
      <c r="G46" s="16">
        <f t="shared" si="1"/>
        <v>9.7162001565624934E-3</v>
      </c>
    </row>
    <row r="47" spans="2:7" x14ac:dyDescent="0.3">
      <c r="B47" s="32" t="s">
        <v>166</v>
      </c>
      <c r="C47">
        <v>455.8</v>
      </c>
      <c r="D47" s="16">
        <f t="shared" si="0"/>
        <v>-0.10872115760657008</v>
      </c>
      <c r="F47" s="31">
        <v>24654.7</v>
      </c>
      <c r="G47" s="16">
        <f t="shared" si="1"/>
        <v>-2.6546715863079107E-2</v>
      </c>
    </row>
    <row r="48" spans="2:7" x14ac:dyDescent="0.3">
      <c r="B48" s="32" t="s">
        <v>165</v>
      </c>
      <c r="C48">
        <v>511.4</v>
      </c>
      <c r="D48" s="16">
        <f t="shared" si="0"/>
        <v>1.7205370462456404E-2</v>
      </c>
      <c r="F48" s="31">
        <v>25327.05</v>
      </c>
      <c r="G48" s="16">
        <f t="shared" si="1"/>
        <v>8.4833160786812467E-3</v>
      </c>
    </row>
    <row r="49" spans="2:7" x14ac:dyDescent="0.3">
      <c r="B49" s="32">
        <v>45847</v>
      </c>
      <c r="C49">
        <v>502.75</v>
      </c>
      <c r="D49" s="16">
        <f t="shared" si="0"/>
        <v>1.5937842414583958E-3</v>
      </c>
      <c r="F49" s="31">
        <v>25114</v>
      </c>
      <c r="G49" s="16">
        <f t="shared" si="1"/>
        <v>1.5076189321369338E-2</v>
      </c>
    </row>
    <row r="50" spans="2:7" x14ac:dyDescent="0.3">
      <c r="B50" s="32" t="s">
        <v>164</v>
      </c>
      <c r="C50">
        <v>501.95</v>
      </c>
      <c r="D50" s="16">
        <f t="shared" si="0"/>
        <v>-4.3637806208469687E-3</v>
      </c>
      <c r="F50" s="31">
        <v>24741</v>
      </c>
      <c r="G50" s="16">
        <f t="shared" si="1"/>
        <v>1.2860847796584585E-2</v>
      </c>
    </row>
    <row r="51" spans="2:7" x14ac:dyDescent="0.3">
      <c r="B51" s="32" t="s">
        <v>163</v>
      </c>
      <c r="C51">
        <v>504.15</v>
      </c>
      <c r="D51" s="16">
        <f t="shared" si="0"/>
        <v>-1.3694610192702683E-2</v>
      </c>
      <c r="F51" s="31">
        <v>24426.85</v>
      </c>
      <c r="G51" s="16">
        <f t="shared" si="1"/>
        <v>-1.7822606262138052E-2</v>
      </c>
    </row>
    <row r="52" spans="2:7" x14ac:dyDescent="0.3">
      <c r="B52" s="32" t="s">
        <v>162</v>
      </c>
      <c r="C52">
        <v>511.15</v>
      </c>
      <c r="D52" s="16">
        <f t="shared" si="0"/>
        <v>-4.1893158388003782E-2</v>
      </c>
      <c r="F52" s="31">
        <v>24870.1</v>
      </c>
      <c r="G52" s="16">
        <f t="shared" si="1"/>
        <v>9.6949815884666002E-3</v>
      </c>
    </row>
    <row r="53" spans="2:7" x14ac:dyDescent="0.3">
      <c r="B53" s="32">
        <v>45938</v>
      </c>
      <c r="C53">
        <v>533.5</v>
      </c>
      <c r="D53" s="16">
        <f t="shared" si="0"/>
        <v>1.022533611058507E-2</v>
      </c>
      <c r="F53" s="31">
        <v>24631.3</v>
      </c>
      <c r="G53" s="16">
        <f t="shared" si="1"/>
        <v>1.100015186776826E-2</v>
      </c>
    </row>
    <row r="54" spans="2:7" x14ac:dyDescent="0.3">
      <c r="B54" s="32">
        <v>45724</v>
      </c>
      <c r="C54">
        <v>528.1</v>
      </c>
      <c r="D54" s="16">
        <f t="shared" si="0"/>
        <v>-9.3934974693317352E-2</v>
      </c>
      <c r="F54" s="31">
        <v>24363.3</v>
      </c>
      <c r="G54" s="16">
        <f t="shared" si="1"/>
        <v>-8.2249998473459263E-3</v>
      </c>
    </row>
    <row r="55" spans="2:7" x14ac:dyDescent="0.3">
      <c r="B55" s="32" t="s">
        <v>161</v>
      </c>
      <c r="C55">
        <v>582.85</v>
      </c>
      <c r="D55" s="16">
        <f t="shared" si="0"/>
        <v>-1.8771043771043772E-2</v>
      </c>
      <c r="F55" s="31">
        <v>24565.35</v>
      </c>
      <c r="G55" s="16">
        <f t="shared" si="1"/>
        <v>-1.0937311269477057E-2</v>
      </c>
    </row>
    <row r="56" spans="2:7" x14ac:dyDescent="0.3">
      <c r="B56" s="32" t="s">
        <v>160</v>
      </c>
      <c r="C56">
        <v>594</v>
      </c>
      <c r="D56" s="16">
        <f t="shared" si="0"/>
        <v>6.5237651444547406E-3</v>
      </c>
      <c r="F56" s="31">
        <v>24837</v>
      </c>
      <c r="G56" s="16">
        <f t="shared" si="1"/>
        <v>-5.2626519921180615E-3</v>
      </c>
    </row>
    <row r="57" spans="2:7" x14ac:dyDescent="0.3">
      <c r="B57" s="32" t="s">
        <v>159</v>
      </c>
      <c r="C57">
        <v>590.15</v>
      </c>
      <c r="D57" s="16">
        <f t="shared" si="0"/>
        <v>1.3742162672850666E-2</v>
      </c>
      <c r="F57" s="31">
        <v>24968.400000000001</v>
      </c>
      <c r="G57" s="16">
        <f t="shared" si="1"/>
        <v>-7.214754759968578E-3</v>
      </c>
    </row>
    <row r="58" spans="2:7" x14ac:dyDescent="0.3">
      <c r="B58" s="32">
        <v>45815</v>
      </c>
      <c r="C58">
        <v>582.15</v>
      </c>
      <c r="D58" s="16">
        <f t="shared" si="0"/>
        <v>-5.9762656876973796E-3</v>
      </c>
      <c r="F58" s="31">
        <v>25149.85</v>
      </c>
      <c r="G58" s="16">
        <f t="shared" si="1"/>
        <v>-1.2220651192019205E-2</v>
      </c>
    </row>
    <row r="59" spans="2:7" x14ac:dyDescent="0.3">
      <c r="B59" s="32" t="s">
        <v>158</v>
      </c>
      <c r="C59">
        <v>585.65</v>
      </c>
      <c r="D59" s="16">
        <f t="shared" si="0"/>
        <v>7.5080312069756738E-2</v>
      </c>
      <c r="F59" s="31">
        <v>25461</v>
      </c>
      <c r="G59" s="16">
        <f t="shared" si="1"/>
        <v>-6.8960675252947023E-3</v>
      </c>
    </row>
    <row r="60" spans="2:7" x14ac:dyDescent="0.3">
      <c r="B60" s="32" t="s">
        <v>157</v>
      </c>
      <c r="C60">
        <v>544.75</v>
      </c>
      <c r="D60" s="16">
        <f t="shared" si="0"/>
        <v>5.0930838236712628E-2</v>
      </c>
      <c r="F60" s="31">
        <v>25637.8</v>
      </c>
      <c r="G60" s="16">
        <f t="shared" si="1"/>
        <v>2.092193498032846E-2</v>
      </c>
    </row>
    <row r="61" spans="2:7" x14ac:dyDescent="0.3">
      <c r="B61" s="32" t="s">
        <v>156</v>
      </c>
      <c r="C61">
        <v>518.35</v>
      </c>
      <c r="D61" s="16">
        <f t="shared" si="0"/>
        <v>-1.1561807495905629E-3</v>
      </c>
      <c r="F61" s="31">
        <v>25112.400000000001</v>
      </c>
      <c r="G61" s="16">
        <f t="shared" si="1"/>
        <v>1.5931322971365791E-2</v>
      </c>
    </row>
    <row r="62" spans="2:7" x14ac:dyDescent="0.3">
      <c r="B62" s="32">
        <v>45875</v>
      </c>
      <c r="C62">
        <v>518.95000000000005</v>
      </c>
      <c r="D62" s="16">
        <f t="shared" si="0"/>
        <v>-7.8405256615165952E-2</v>
      </c>
      <c r="F62" s="31">
        <v>24718.6</v>
      </c>
      <c r="G62" s="16">
        <f t="shared" si="1"/>
        <v>-1.1376612053329516E-2</v>
      </c>
    </row>
    <row r="63" spans="2:7" x14ac:dyDescent="0.3">
      <c r="B63" s="32">
        <v>45663</v>
      </c>
      <c r="C63">
        <v>563.1</v>
      </c>
      <c r="D63" s="16">
        <f t="shared" si="0"/>
        <v>4.8179871520344086E-3</v>
      </c>
      <c r="F63" s="31">
        <v>25003.05</v>
      </c>
      <c r="G63" s="16">
        <f t="shared" si="1"/>
        <v>1.0195671233540704E-2</v>
      </c>
    </row>
    <row r="64" spans="2:7" x14ac:dyDescent="0.3">
      <c r="B64" s="32" t="s">
        <v>155</v>
      </c>
      <c r="C64">
        <v>560.4</v>
      </c>
      <c r="D64" s="16">
        <f t="shared" si="0"/>
        <v>1.2283236994219626E-2</v>
      </c>
      <c r="F64" s="31">
        <v>24750.7</v>
      </c>
      <c r="G64" s="16">
        <f t="shared" si="1"/>
        <v>-4.1222138843567402E-3</v>
      </c>
    </row>
    <row r="65" spans="2:7" x14ac:dyDescent="0.3">
      <c r="B65" s="32" t="s">
        <v>154</v>
      </c>
      <c r="C65">
        <v>553.6</v>
      </c>
      <c r="D65" s="16">
        <f t="shared" si="0"/>
        <v>-1.2134189864382527E-2</v>
      </c>
      <c r="F65" s="31">
        <v>24853.15</v>
      </c>
      <c r="G65" s="16">
        <f t="shared" si="1"/>
        <v>-6.660724706032739E-3</v>
      </c>
    </row>
    <row r="66" spans="2:7" x14ac:dyDescent="0.3">
      <c r="B66" s="32">
        <v>45966</v>
      </c>
      <c r="C66">
        <v>560.4</v>
      </c>
      <c r="D66" s="16">
        <f t="shared" si="0"/>
        <v>7.9456804391794256E-2</v>
      </c>
      <c r="F66" s="31">
        <v>25019.8</v>
      </c>
      <c r="G66" s="16">
        <f t="shared" si="1"/>
        <v>4.2144285238253865E-2</v>
      </c>
    </row>
    <row r="67" spans="2:7" x14ac:dyDescent="0.3">
      <c r="B67" s="32">
        <v>45752</v>
      </c>
      <c r="C67">
        <v>519.15</v>
      </c>
      <c r="D67" s="16">
        <f t="shared" si="0"/>
        <v>2.1044350476939755E-2</v>
      </c>
      <c r="F67" s="31">
        <v>24008</v>
      </c>
      <c r="G67" s="16">
        <f t="shared" si="1"/>
        <v>-1.391153626569519E-2</v>
      </c>
    </row>
    <row r="68" spans="2:7" x14ac:dyDescent="0.3">
      <c r="B68" s="32" t="s">
        <v>153</v>
      </c>
      <c r="C68">
        <v>508.45</v>
      </c>
      <c r="D68" s="16">
        <f t="shared" si="0"/>
        <v>1.4364089775561029E-2</v>
      </c>
      <c r="F68" s="31">
        <v>24346.7</v>
      </c>
      <c r="G68" s="16">
        <f t="shared" si="1"/>
        <v>1.2785287455775673E-2</v>
      </c>
    </row>
    <row r="69" spans="2:7" x14ac:dyDescent="0.3">
      <c r="B69" s="32" t="s">
        <v>152</v>
      </c>
      <c r="C69">
        <v>501.25</v>
      </c>
      <c r="D69" s="16">
        <f t="shared" si="0"/>
        <v>-4.460116267988179E-2</v>
      </c>
      <c r="F69" s="31">
        <v>24039.35</v>
      </c>
      <c r="G69" s="16">
        <f t="shared" si="1"/>
        <v>7.86947653516612E-3</v>
      </c>
    </row>
    <row r="70" spans="2:7" x14ac:dyDescent="0.3">
      <c r="B70" s="32" t="s">
        <v>151</v>
      </c>
      <c r="C70">
        <v>524.65</v>
      </c>
      <c r="D70" s="16">
        <f t="shared" si="0"/>
        <v>2.7214880078316073E-2</v>
      </c>
      <c r="F70" s="31">
        <v>23851.65</v>
      </c>
      <c r="G70" s="16">
        <f t="shared" si="1"/>
        <v>4.4816687875489425E-2</v>
      </c>
    </row>
    <row r="71" spans="2:7" x14ac:dyDescent="0.3">
      <c r="B71" s="32">
        <v>45812</v>
      </c>
      <c r="C71">
        <v>510.75</v>
      </c>
      <c r="D71" s="16">
        <f t="shared" ref="D71:D108" si="2">C71/C72-1</f>
        <v>4.8445037462793827E-2</v>
      </c>
      <c r="F71" s="31">
        <v>22828.55</v>
      </c>
      <c r="G71" s="16">
        <f t="shared" ref="G71:G108" si="3">F71/F72-1</f>
        <v>-3.3137665388167648E-3</v>
      </c>
    </row>
    <row r="72" spans="2:7" x14ac:dyDescent="0.3">
      <c r="B72" s="32" t="s">
        <v>150</v>
      </c>
      <c r="C72">
        <v>487.15</v>
      </c>
      <c r="D72" s="16">
        <f t="shared" si="2"/>
        <v>4.2589620117710059E-2</v>
      </c>
      <c r="F72" s="31">
        <v>22904.45</v>
      </c>
      <c r="G72" s="16">
        <f t="shared" si="3"/>
        <v>-2.6144430011883713E-2</v>
      </c>
    </row>
    <row r="73" spans="2:7" x14ac:dyDescent="0.3">
      <c r="B73" s="32" t="s">
        <v>149</v>
      </c>
      <c r="C73">
        <v>467.25</v>
      </c>
      <c r="D73" s="16">
        <f t="shared" si="2"/>
        <v>-8.3828522920204041E-3</v>
      </c>
      <c r="F73" s="31">
        <v>23519.35</v>
      </c>
      <c r="G73" s="16">
        <f t="shared" si="3"/>
        <v>7.2354220912702605E-3</v>
      </c>
    </row>
    <row r="74" spans="2:7" x14ac:dyDescent="0.3">
      <c r="B74" s="32" t="s">
        <v>148</v>
      </c>
      <c r="C74">
        <v>471.2</v>
      </c>
      <c r="D74" s="16">
        <f t="shared" si="2"/>
        <v>9.3525179856115193E-2</v>
      </c>
      <c r="F74" s="31">
        <v>23350.400000000001</v>
      </c>
      <c r="G74" s="16">
        <f t="shared" si="3"/>
        <v>4.2558891289982803E-2</v>
      </c>
    </row>
    <row r="75" spans="2:7" x14ac:dyDescent="0.3">
      <c r="B75" s="32">
        <v>45903</v>
      </c>
      <c r="C75">
        <v>430.9</v>
      </c>
      <c r="D75" s="16">
        <f t="shared" si="2"/>
        <v>-1.8531387537642496E-3</v>
      </c>
      <c r="F75" s="31">
        <v>22397.200000000001</v>
      </c>
      <c r="G75" s="16">
        <f t="shared" si="3"/>
        <v>-6.8861545283227521E-3</v>
      </c>
    </row>
    <row r="76" spans="2:7" x14ac:dyDescent="0.3">
      <c r="B76" s="32">
        <v>45691</v>
      </c>
      <c r="C76">
        <v>431.7</v>
      </c>
      <c r="D76" s="16">
        <f t="shared" si="2"/>
        <v>-6.6089778258518139E-2</v>
      </c>
      <c r="F76" s="31">
        <v>22552.5</v>
      </c>
      <c r="G76" s="16">
        <f t="shared" si="3"/>
        <v>1.9335855401429125E-2</v>
      </c>
    </row>
    <row r="77" spans="2:7" x14ac:dyDescent="0.3">
      <c r="B77" s="32" t="s">
        <v>147</v>
      </c>
      <c r="C77">
        <v>462.25</v>
      </c>
      <c r="D77" s="16">
        <f t="shared" si="2"/>
        <v>-4.7398248325605352E-2</v>
      </c>
      <c r="F77" s="31">
        <v>22124.7</v>
      </c>
      <c r="G77" s="16">
        <f t="shared" si="3"/>
        <v>-2.9443891226053842E-2</v>
      </c>
    </row>
    <row r="78" spans="2:7" x14ac:dyDescent="0.3">
      <c r="B78" s="32" t="s">
        <v>146</v>
      </c>
      <c r="C78">
        <v>485.25</v>
      </c>
      <c r="D78" s="16">
        <f t="shared" si="2"/>
        <v>-6.4496314496313989E-3</v>
      </c>
      <c r="F78" s="31">
        <v>22795.9</v>
      </c>
      <c r="G78" s="16">
        <f t="shared" si="3"/>
        <v>-5.8157157342695331E-3</v>
      </c>
    </row>
    <row r="79" spans="2:7" x14ac:dyDescent="0.3">
      <c r="B79" s="32">
        <v>45902</v>
      </c>
      <c r="C79">
        <v>488.4</v>
      </c>
      <c r="D79" s="16">
        <f t="shared" si="2"/>
        <v>-9.4549499443826512E-2</v>
      </c>
      <c r="F79" s="31">
        <v>22929.25</v>
      </c>
      <c r="G79" s="16">
        <f t="shared" si="3"/>
        <v>-2.6770005878620329E-2</v>
      </c>
    </row>
    <row r="80" spans="2:7" x14ac:dyDescent="0.3">
      <c r="B80" s="32">
        <v>45690</v>
      </c>
      <c r="C80">
        <v>539.4</v>
      </c>
      <c r="D80" s="16">
        <f t="shared" si="2"/>
        <v>7.2152653548002377E-2</v>
      </c>
      <c r="F80" s="31">
        <v>23559.95</v>
      </c>
      <c r="G80" s="16">
        <f t="shared" si="3"/>
        <v>2.1928332000475947E-3</v>
      </c>
    </row>
    <row r="81" spans="2:7" x14ac:dyDescent="0.3">
      <c r="B81" s="32" t="s">
        <v>145</v>
      </c>
      <c r="C81">
        <v>503.1</v>
      </c>
      <c r="D81" s="16">
        <f t="shared" si="2"/>
        <v>9.6675749318801074E-2</v>
      </c>
      <c r="F81" s="31">
        <v>23508.400000000001</v>
      </c>
      <c r="G81" s="16">
        <f t="shared" si="3"/>
        <v>1.8023401841314346E-2</v>
      </c>
    </row>
    <row r="82" spans="2:7" x14ac:dyDescent="0.3">
      <c r="B82" s="32" t="s">
        <v>144</v>
      </c>
      <c r="C82">
        <v>458.75</v>
      </c>
      <c r="D82" s="16">
        <f t="shared" si="2"/>
        <v>-8.5244267198404833E-2</v>
      </c>
      <c r="F82" s="31">
        <v>23092.2</v>
      </c>
      <c r="G82" s="16">
        <f t="shared" si="3"/>
        <v>-4.7838229209764549E-3</v>
      </c>
    </row>
    <row r="83" spans="2:7" x14ac:dyDescent="0.3">
      <c r="B83" s="32">
        <v>45992</v>
      </c>
      <c r="C83">
        <v>501.5</v>
      </c>
      <c r="D83" s="16">
        <f t="shared" si="2"/>
        <v>-0.19984044674910251</v>
      </c>
      <c r="F83" s="31">
        <v>23203.200000000001</v>
      </c>
      <c r="G83" s="16">
        <f t="shared" si="3"/>
        <v>-9.7432942833365344E-3</v>
      </c>
    </row>
    <row r="84" spans="2:7" x14ac:dyDescent="0.3">
      <c r="B84" s="32">
        <v>45778</v>
      </c>
      <c r="C84">
        <v>626.75</v>
      </c>
      <c r="D84" s="16">
        <f t="shared" si="2"/>
        <v>-0.19420159424016448</v>
      </c>
      <c r="F84" s="31">
        <v>23431.5</v>
      </c>
      <c r="G84" s="16">
        <f t="shared" si="3"/>
        <v>-2.3880690280048689E-2</v>
      </c>
    </row>
    <row r="85" spans="2:7" x14ac:dyDescent="0.3">
      <c r="B85" s="32" t="s">
        <v>143</v>
      </c>
      <c r="C85">
        <v>777.8</v>
      </c>
      <c r="D85" s="16">
        <f t="shared" si="2"/>
        <v>7.7807801565856094E-2</v>
      </c>
      <c r="F85" s="31">
        <v>24004.75</v>
      </c>
      <c r="G85" s="16">
        <f t="shared" si="3"/>
        <v>8.035391838208783E-3</v>
      </c>
    </row>
    <row r="86" spans="2:7" x14ac:dyDescent="0.3">
      <c r="B86" s="32" t="s">
        <v>142</v>
      </c>
      <c r="C86">
        <v>721.65</v>
      </c>
      <c r="D86" s="16">
        <f t="shared" si="2"/>
        <v>3.4065628476083187E-3</v>
      </c>
      <c r="F86" s="31">
        <v>23813.4</v>
      </c>
      <c r="G86" s="16">
        <f t="shared" si="3"/>
        <v>9.5771065182830295E-3</v>
      </c>
    </row>
    <row r="87" spans="2:7" x14ac:dyDescent="0.3">
      <c r="B87" s="32" t="s">
        <v>141</v>
      </c>
      <c r="C87">
        <v>719.2</v>
      </c>
      <c r="D87" s="16">
        <f t="shared" si="2"/>
        <v>-3.7344398340248941E-2</v>
      </c>
      <c r="F87" s="31">
        <v>23587.5</v>
      </c>
      <c r="G87" s="16">
        <f t="shared" si="3"/>
        <v>-4.7673841159869612E-2</v>
      </c>
    </row>
    <row r="88" spans="2:7" x14ac:dyDescent="0.3">
      <c r="B88" s="32">
        <v>45516</v>
      </c>
      <c r="C88">
        <v>747.1</v>
      </c>
      <c r="D88" s="16">
        <f t="shared" si="2"/>
        <v>2.2724161533196563E-2</v>
      </c>
      <c r="F88" s="31">
        <v>24768.3</v>
      </c>
      <c r="G88" s="16">
        <f t="shared" si="3"/>
        <v>3.6672636944945491E-3</v>
      </c>
    </row>
    <row r="89" spans="2:7" x14ac:dyDescent="0.3">
      <c r="B89" s="32">
        <v>45303</v>
      </c>
      <c r="C89">
        <v>730.5</v>
      </c>
      <c r="D89" s="16">
        <f t="shared" si="2"/>
        <v>8.3511629512043051E-3</v>
      </c>
      <c r="F89" s="31">
        <v>24677.8</v>
      </c>
      <c r="G89" s="16">
        <f t="shared" si="3"/>
        <v>2.2655411481449228E-2</v>
      </c>
    </row>
    <row r="90" spans="2:7" x14ac:dyDescent="0.3">
      <c r="B90" s="32" t="s">
        <v>140</v>
      </c>
      <c r="C90">
        <v>724.45</v>
      </c>
      <c r="D90" s="16">
        <f t="shared" si="2"/>
        <v>2.5479510227192304E-2</v>
      </c>
      <c r="F90" s="31">
        <v>24131.1</v>
      </c>
      <c r="G90" s="16">
        <f t="shared" si="3"/>
        <v>9.3632684645870157E-3</v>
      </c>
    </row>
    <row r="91" spans="2:7" x14ac:dyDescent="0.3">
      <c r="B91" s="32" t="s">
        <v>139</v>
      </c>
      <c r="C91">
        <v>706.45</v>
      </c>
      <c r="D91" s="16">
        <f t="shared" si="2"/>
        <v>8.0363970025997933E-2</v>
      </c>
      <c r="F91" s="31">
        <v>23907.25</v>
      </c>
      <c r="G91" s="16">
        <f t="shared" si="3"/>
        <v>1.5916150717937061E-2</v>
      </c>
    </row>
    <row r="92" spans="2:7" x14ac:dyDescent="0.3">
      <c r="B92" s="32">
        <v>45576</v>
      </c>
      <c r="C92">
        <v>653.9</v>
      </c>
      <c r="D92" s="16">
        <f t="shared" si="2"/>
        <v>-5.7916726696441545E-2</v>
      </c>
      <c r="F92" s="31">
        <v>23532.7</v>
      </c>
      <c r="G92" s="16">
        <f t="shared" si="3"/>
        <v>-2.5488442202731498E-2</v>
      </c>
    </row>
    <row r="93" spans="2:7" x14ac:dyDescent="0.3">
      <c r="B93" s="32">
        <v>45362</v>
      </c>
      <c r="C93">
        <v>694.1</v>
      </c>
      <c r="D93" s="16">
        <f t="shared" si="2"/>
        <v>3.473464519976166E-2</v>
      </c>
      <c r="F93" s="31">
        <v>24148.2</v>
      </c>
      <c r="G93" s="16">
        <f t="shared" si="3"/>
        <v>-6.4247758117372822E-3</v>
      </c>
    </row>
    <row r="94" spans="2:7" x14ac:dyDescent="0.3">
      <c r="B94" s="32" t="s">
        <v>138</v>
      </c>
      <c r="C94">
        <v>670.8</v>
      </c>
      <c r="D94" s="16">
        <f t="shared" si="2"/>
        <v>-1.3398838767307852E-3</v>
      </c>
      <c r="F94" s="31">
        <v>24304.35</v>
      </c>
      <c r="G94" s="16">
        <f t="shared" si="3"/>
        <v>5.1094256600276999E-3</v>
      </c>
    </row>
    <row r="95" spans="2:7" x14ac:dyDescent="0.3">
      <c r="B95" s="32" t="s">
        <v>137</v>
      </c>
      <c r="C95">
        <v>671.7</v>
      </c>
      <c r="D95" s="16">
        <f t="shared" si="2"/>
        <v>-6.5720842895889864E-2</v>
      </c>
      <c r="F95" s="31">
        <v>24180.799999999999</v>
      </c>
      <c r="G95" s="16">
        <f t="shared" si="3"/>
        <v>-2.7088140564616281E-2</v>
      </c>
    </row>
    <row r="96" spans="2:7" x14ac:dyDescent="0.3">
      <c r="B96" s="32" t="s">
        <v>136</v>
      </c>
      <c r="C96">
        <v>718.95</v>
      </c>
      <c r="D96" s="16">
        <f t="shared" si="2"/>
        <v>-1.8742190753850974E-3</v>
      </c>
      <c r="F96" s="31">
        <v>24854.05</v>
      </c>
      <c r="G96" s="16">
        <f t="shared" si="3"/>
        <v>-4.4143124668275524E-3</v>
      </c>
    </row>
    <row r="97" spans="2:7" x14ac:dyDescent="0.3">
      <c r="B97" s="32">
        <v>45453</v>
      </c>
      <c r="C97">
        <v>720.3</v>
      </c>
      <c r="D97" s="16">
        <f t="shared" si="2"/>
        <v>1.0309278350515427E-2</v>
      </c>
      <c r="F97" s="31">
        <v>24964.25</v>
      </c>
      <c r="G97" s="16">
        <f t="shared" si="3"/>
        <v>-2.0128245104857889E-3</v>
      </c>
    </row>
    <row r="98" spans="2:7" x14ac:dyDescent="0.3">
      <c r="B98" s="32" t="s">
        <v>135</v>
      </c>
      <c r="C98">
        <v>712.95</v>
      </c>
      <c r="D98" s="16">
        <f t="shared" si="2"/>
        <v>8.8439224564877961E-3</v>
      </c>
      <c r="F98" s="31">
        <v>25014.6</v>
      </c>
      <c r="G98" s="16">
        <f t="shared" si="3"/>
        <v>-4.4476573735768743E-2</v>
      </c>
    </row>
    <row r="99" spans="2:7" x14ac:dyDescent="0.3">
      <c r="B99" s="32" t="s">
        <v>134</v>
      </c>
      <c r="C99">
        <v>706.7</v>
      </c>
      <c r="D99" s="16">
        <f t="shared" si="2"/>
        <v>-3.2580424366871918E-2</v>
      </c>
      <c r="F99" s="31">
        <v>26178.95</v>
      </c>
      <c r="G99" s="16">
        <f t="shared" si="3"/>
        <v>1.5044036764834123E-2</v>
      </c>
    </row>
    <row r="100" spans="2:7" x14ac:dyDescent="0.3">
      <c r="B100" s="32" t="s">
        <v>133</v>
      </c>
      <c r="C100">
        <v>730.5</v>
      </c>
      <c r="D100" s="16">
        <f t="shared" si="2"/>
        <v>2.0180155017107904E-2</v>
      </c>
      <c r="F100" s="31">
        <v>25790.95</v>
      </c>
      <c r="G100" s="16">
        <f t="shared" si="3"/>
        <v>1.7133673811448702E-2</v>
      </c>
    </row>
    <row r="101" spans="2:7" x14ac:dyDescent="0.3">
      <c r="B101" s="32">
        <v>45513</v>
      </c>
      <c r="C101">
        <v>716.05</v>
      </c>
      <c r="D101" s="16">
        <f t="shared" si="2"/>
        <v>0.10467448318420236</v>
      </c>
      <c r="F101" s="31">
        <v>25356.5</v>
      </c>
      <c r="G101" s="16">
        <f t="shared" si="3"/>
        <v>2.0294018827344829E-2</v>
      </c>
    </row>
    <row r="102" spans="2:7" x14ac:dyDescent="0.3">
      <c r="B102" s="32">
        <v>45300</v>
      </c>
      <c r="C102">
        <v>648.20000000000005</v>
      </c>
      <c r="D102" s="16">
        <f t="shared" si="2"/>
        <v>5.3641092327698203E-2</v>
      </c>
      <c r="F102" s="31">
        <v>24852.15</v>
      </c>
      <c r="G102" s="16">
        <f t="shared" si="3"/>
        <v>-1.5206511358818231E-2</v>
      </c>
    </row>
    <row r="103" spans="2:7" x14ac:dyDescent="0.3">
      <c r="B103" s="32" t="s">
        <v>132</v>
      </c>
      <c r="C103">
        <v>615.20000000000005</v>
      </c>
      <c r="D103" s="16">
        <f t="shared" si="2"/>
        <v>4.4659534725760119E-2</v>
      </c>
      <c r="F103" s="31">
        <v>25235.9</v>
      </c>
      <c r="G103" s="16">
        <f t="shared" si="3"/>
        <v>1.6627623810837822E-2</v>
      </c>
    </row>
    <row r="104" spans="2:7" x14ac:dyDescent="0.3">
      <c r="B104" s="32" t="s">
        <v>131</v>
      </c>
      <c r="C104">
        <v>588.9</v>
      </c>
      <c r="D104" s="16">
        <f t="shared" si="2"/>
        <v>2.7838380312418032E-2</v>
      </c>
      <c r="F104" s="31">
        <v>24823.15</v>
      </c>
      <c r="G104" s="16">
        <f t="shared" si="3"/>
        <v>1.1490904052988471E-2</v>
      </c>
    </row>
    <row r="105" spans="2:7" x14ac:dyDescent="0.3">
      <c r="B105" s="32">
        <v>45604</v>
      </c>
      <c r="C105">
        <v>572.95000000000005</v>
      </c>
      <c r="D105" s="16">
        <f t="shared" si="2"/>
        <v>6.3381588715664572E-2</v>
      </c>
      <c r="F105" s="31">
        <v>24541.15</v>
      </c>
      <c r="G105" s="16">
        <f t="shared" si="3"/>
        <v>7.1262952703396998E-3</v>
      </c>
    </row>
    <row r="106" spans="2:7" x14ac:dyDescent="0.3">
      <c r="B106" s="32">
        <v>45390</v>
      </c>
      <c r="C106">
        <v>538.79999999999995</v>
      </c>
      <c r="D106" s="16">
        <f t="shared" si="2"/>
        <v>-3.7427422956677114E-2</v>
      </c>
      <c r="F106" s="31">
        <v>24367.5</v>
      </c>
      <c r="G106" s="16">
        <f t="shared" si="3"/>
        <v>-1.4167984885325113E-2</v>
      </c>
    </row>
    <row r="107" spans="2:7" x14ac:dyDescent="0.3">
      <c r="B107" s="32" t="s">
        <v>130</v>
      </c>
      <c r="C107">
        <v>559.75</v>
      </c>
      <c r="D107" s="16">
        <f t="shared" si="2"/>
        <v>-1.4177527298344428E-2</v>
      </c>
      <c r="F107" s="31">
        <v>24717.7</v>
      </c>
      <c r="G107" s="16">
        <f t="shared" si="3"/>
        <v>-4.7171615693268887E-3</v>
      </c>
    </row>
    <row r="108" spans="2:7" x14ac:dyDescent="0.3">
      <c r="B108" s="32" t="s">
        <v>129</v>
      </c>
      <c r="C108">
        <v>567.79999999999995</v>
      </c>
      <c r="D108" s="16">
        <f t="shared" si="2"/>
        <v>7.3447395784100422E-2</v>
      </c>
      <c r="F108" s="31">
        <v>24834.85</v>
      </c>
      <c r="G108" s="16">
        <f t="shared" si="3"/>
        <v>1.2390495252925682E-2</v>
      </c>
    </row>
    <row r="109" spans="2:7" x14ac:dyDescent="0.3">
      <c r="B109" s="32" t="s">
        <v>128</v>
      </c>
      <c r="C109">
        <v>528.95000000000005</v>
      </c>
      <c r="F109" s="31">
        <v>24530.9</v>
      </c>
    </row>
  </sheetData>
  <autoFilter ref="B5:D109" xr:uid="{1653BCB5-5379-41FD-BC49-963F575ED4E5}"/>
  <mergeCells count="3">
    <mergeCell ref="B3:D3"/>
    <mergeCell ref="F3:G3"/>
    <mergeCell ref="I3:J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9097F-C610-4C1E-AA88-8557DB9FCCBC}">
  <dimension ref="B2:J33"/>
  <sheetViews>
    <sheetView zoomScale="75" workbookViewId="0">
      <selection activeCell="J7" sqref="J7"/>
    </sheetView>
  </sheetViews>
  <sheetFormatPr defaultRowHeight="14.4" x14ac:dyDescent="0.3"/>
  <cols>
    <col min="1" max="1" width="1.88671875" customWidth="1"/>
    <col min="2" max="2" width="20.33203125" customWidth="1"/>
    <col min="3" max="3" width="12.77734375" bestFit="1" customWidth="1"/>
    <col min="4" max="4" width="13" customWidth="1"/>
    <col min="5" max="5" width="13.109375" customWidth="1"/>
    <col min="6" max="6" width="8.88671875" customWidth="1"/>
    <col min="9" max="9" width="21" customWidth="1"/>
    <col min="10" max="10" width="9.5546875" bestFit="1" customWidth="1"/>
  </cols>
  <sheetData>
    <row r="2" spans="2:10" x14ac:dyDescent="0.3">
      <c r="B2" t="s">
        <v>222</v>
      </c>
    </row>
    <row r="4" spans="2:10" x14ac:dyDescent="0.3">
      <c r="B4" s="14" t="s">
        <v>223</v>
      </c>
    </row>
    <row r="5" spans="2:10" x14ac:dyDescent="0.3">
      <c r="B5" s="41"/>
      <c r="C5" s="41"/>
      <c r="D5" s="41"/>
      <c r="E5" s="41"/>
      <c r="F5" s="42"/>
      <c r="G5" s="42" t="s">
        <v>224</v>
      </c>
      <c r="H5" s="42" t="s">
        <v>224</v>
      </c>
      <c r="I5" s="42" t="s">
        <v>225</v>
      </c>
      <c r="J5" s="42" t="s">
        <v>226</v>
      </c>
    </row>
    <row r="6" spans="2:10" ht="16.2" x14ac:dyDescent="0.3">
      <c r="B6" s="43" t="s">
        <v>227</v>
      </c>
      <c r="C6" s="43" t="s">
        <v>228</v>
      </c>
      <c r="D6" s="44" t="s">
        <v>229</v>
      </c>
      <c r="E6" s="44" t="s">
        <v>230</v>
      </c>
      <c r="F6" s="44" t="s">
        <v>231</v>
      </c>
      <c r="G6" s="44" t="s">
        <v>232</v>
      </c>
      <c r="H6" s="44" t="s">
        <v>233</v>
      </c>
      <c r="I6" s="44" t="s">
        <v>234</v>
      </c>
      <c r="J6" s="44" t="s">
        <v>235</v>
      </c>
    </row>
    <row r="7" spans="2:10" x14ac:dyDescent="0.3">
      <c r="B7" t="s">
        <v>236</v>
      </c>
      <c r="C7" t="s">
        <v>243</v>
      </c>
      <c r="D7" s="49">
        <v>30621</v>
      </c>
      <c r="E7" s="49">
        <f>D7/G7</f>
        <v>1570307.6923076923</v>
      </c>
      <c r="F7" s="50">
        <v>0.25</v>
      </c>
      <c r="G7" s="38">
        <v>1.95E-2</v>
      </c>
      <c r="H7" s="16">
        <f>D7/(D7+E7)</f>
        <v>1.912702305051496E-2</v>
      </c>
      <c r="I7" s="51">
        <v>1.02</v>
      </c>
      <c r="J7" s="36">
        <f>I7/(1+(1-F7)*G7)</f>
        <v>1.0052975237156585</v>
      </c>
    </row>
    <row r="8" spans="2:10" x14ac:dyDescent="0.3">
      <c r="B8" t="s">
        <v>237</v>
      </c>
      <c r="C8" t="s">
        <v>243</v>
      </c>
      <c r="D8" s="49">
        <v>6117.33</v>
      </c>
      <c r="E8" s="49">
        <f t="shared" ref="E8:E13" si="0">D8/G8</f>
        <v>630652.57731958758</v>
      </c>
      <c r="F8" s="50">
        <v>0.25</v>
      </c>
      <c r="G8" s="38">
        <v>9.7000000000000003E-3</v>
      </c>
      <c r="H8" s="16">
        <f t="shared" ref="H8:H13" si="1">D8/(D8+E8)</f>
        <v>9.6068139051203334E-3</v>
      </c>
      <c r="I8" s="51">
        <v>1.62</v>
      </c>
      <c r="J8" s="36">
        <f t="shared" ref="J8:J13" si="2">I8/(1+(1-F8)*G8)</f>
        <v>1.6082996202625899</v>
      </c>
    </row>
    <row r="9" spans="2:10" x14ac:dyDescent="0.3">
      <c r="B9" t="s">
        <v>238</v>
      </c>
      <c r="C9" t="s">
        <v>243</v>
      </c>
      <c r="D9" s="49">
        <v>913.21</v>
      </c>
      <c r="E9" s="49">
        <f t="shared" si="0"/>
        <v>142689.0625</v>
      </c>
      <c r="F9" s="50">
        <v>0.25</v>
      </c>
      <c r="G9" s="38">
        <v>6.4000000000000003E-3</v>
      </c>
      <c r="H9" s="16">
        <f t="shared" si="1"/>
        <v>6.3593004769475362E-3</v>
      </c>
      <c r="I9" s="51">
        <v>0.9</v>
      </c>
      <c r="J9" s="36">
        <f t="shared" si="2"/>
        <v>0.89570063694267521</v>
      </c>
    </row>
    <row r="10" spans="2:10" x14ac:dyDescent="0.3">
      <c r="B10" t="s">
        <v>239</v>
      </c>
      <c r="C10" t="s">
        <v>243</v>
      </c>
      <c r="D10" s="49">
        <v>1166.56</v>
      </c>
      <c r="E10" s="49">
        <f t="shared" si="0"/>
        <v>833257.14285714284</v>
      </c>
      <c r="F10" s="50">
        <v>0.25</v>
      </c>
      <c r="G10" s="38">
        <v>1.4E-3</v>
      </c>
      <c r="H10" s="16">
        <f t="shared" si="1"/>
        <v>1.3980427401637705E-3</v>
      </c>
      <c r="I10" s="51">
        <v>1.3</v>
      </c>
      <c r="J10" s="36">
        <f t="shared" si="2"/>
        <v>1.2986364317466661</v>
      </c>
    </row>
    <row r="11" spans="2:10" x14ac:dyDescent="0.3">
      <c r="B11" t="s">
        <v>240</v>
      </c>
      <c r="C11" t="s">
        <v>243</v>
      </c>
      <c r="D11" s="49">
        <v>869.11</v>
      </c>
      <c r="E11" s="49">
        <f t="shared" si="0"/>
        <v>119056.16438356164</v>
      </c>
      <c r="F11" s="50">
        <v>0.25</v>
      </c>
      <c r="G11" s="38">
        <v>7.3000000000000001E-3</v>
      </c>
      <c r="H11" s="16">
        <f t="shared" si="1"/>
        <v>7.2470961977563787E-3</v>
      </c>
      <c r="I11" s="51">
        <v>1.4</v>
      </c>
      <c r="J11" s="36">
        <f t="shared" si="2"/>
        <v>1.3923767373629379</v>
      </c>
    </row>
    <row r="12" spans="2:10" x14ac:dyDescent="0.3">
      <c r="B12" t="s">
        <v>241</v>
      </c>
      <c r="C12" t="s">
        <v>243</v>
      </c>
      <c r="D12" s="49">
        <v>1699.09</v>
      </c>
      <c r="E12" s="49">
        <f t="shared" si="0"/>
        <v>180754.25531914891</v>
      </c>
      <c r="F12" s="50">
        <v>0.25</v>
      </c>
      <c r="G12" s="38">
        <v>9.4000000000000004E-3</v>
      </c>
      <c r="H12" s="16">
        <f t="shared" si="1"/>
        <v>9.3124628492173584E-3</v>
      </c>
      <c r="I12" s="51">
        <v>0.7</v>
      </c>
      <c r="J12" s="36">
        <f t="shared" si="2"/>
        <v>0.69509954818529363</v>
      </c>
    </row>
    <row r="13" spans="2:10" x14ac:dyDescent="0.3">
      <c r="B13" t="s">
        <v>242</v>
      </c>
      <c r="C13" t="s">
        <v>243</v>
      </c>
      <c r="D13" s="49">
        <v>1737.09</v>
      </c>
      <c r="E13" s="49">
        <f t="shared" si="0"/>
        <v>195178.65168539324</v>
      </c>
      <c r="F13" s="50">
        <v>0.25</v>
      </c>
      <c r="G13" s="38">
        <v>8.8999999999999999E-3</v>
      </c>
      <c r="H13" s="16">
        <f t="shared" si="1"/>
        <v>8.8214887501238976E-3</v>
      </c>
      <c r="I13" s="51">
        <v>0.9</v>
      </c>
      <c r="J13" s="36">
        <f t="shared" si="2"/>
        <v>0.89403233416941918</v>
      </c>
    </row>
    <row r="14" spans="2:10" ht="15" thickBot="1" x14ac:dyDescent="0.35"/>
    <row r="15" spans="2:10" x14ac:dyDescent="0.3">
      <c r="H15" s="52" t="s">
        <v>244</v>
      </c>
      <c r="I15" s="52">
        <f>AVERAGE(I7:I13)</f>
        <v>1.1200000000000001</v>
      </c>
      <c r="J15" s="53">
        <f>AVERAGE(J7:J13)</f>
        <v>1.1127775474836057</v>
      </c>
    </row>
    <row r="16" spans="2:10" ht="15" thickBot="1" x14ac:dyDescent="0.35">
      <c r="H16" s="33" t="s">
        <v>245</v>
      </c>
      <c r="I16" s="33">
        <f>MEDIAN(I7:I13)</f>
        <v>1.02</v>
      </c>
      <c r="J16" s="54">
        <f>MEDIAN(J7:J13)</f>
        <v>1.0052975237156585</v>
      </c>
    </row>
    <row r="19" spans="2:10" x14ac:dyDescent="0.3">
      <c r="B19" s="14" t="s">
        <v>246</v>
      </c>
      <c r="C19" s="56">
        <f>J19 + J20*J16</f>
        <v>0.1375708266600961</v>
      </c>
      <c r="H19" t="s">
        <v>247</v>
      </c>
      <c r="J19" s="55">
        <v>6.7199999999999996E-2</v>
      </c>
    </row>
    <row r="20" spans="2:10" x14ac:dyDescent="0.3">
      <c r="H20" t="s">
        <v>248</v>
      </c>
      <c r="J20" s="116">
        <v>7.0000000000000007E-2</v>
      </c>
    </row>
    <row r="21" spans="2:10" x14ac:dyDescent="0.3">
      <c r="B21" s="14" t="s">
        <v>249</v>
      </c>
    </row>
    <row r="22" spans="2:10" x14ac:dyDescent="0.3">
      <c r="B22" t="s">
        <v>250</v>
      </c>
      <c r="C22" s="38">
        <f>J19+J22</f>
        <v>7.4999999999999997E-2</v>
      </c>
      <c r="H22" t="s">
        <v>253</v>
      </c>
      <c r="J22" s="56">
        <v>7.7999999999999996E-3</v>
      </c>
    </row>
    <row r="23" spans="2:10" x14ac:dyDescent="0.3">
      <c r="B23" t="s">
        <v>251</v>
      </c>
      <c r="C23" s="38">
        <v>0.25</v>
      </c>
    </row>
    <row r="24" spans="2:10" x14ac:dyDescent="0.3">
      <c r="B24" s="14" t="s">
        <v>252</v>
      </c>
      <c r="C24" s="56">
        <f>C22*(1-C23)</f>
        <v>5.6249999999999994E-2</v>
      </c>
    </row>
    <row r="26" spans="2:10" x14ac:dyDescent="0.3">
      <c r="B26" s="14" t="s">
        <v>254</v>
      </c>
    </row>
    <row r="27" spans="2:10" x14ac:dyDescent="0.3">
      <c r="B27" t="s">
        <v>257</v>
      </c>
      <c r="C27" s="16">
        <f>D7/(D7+E7)</f>
        <v>1.912702305051496E-2</v>
      </c>
    </row>
    <row r="28" spans="2:10" x14ac:dyDescent="0.3">
      <c r="B28" t="s">
        <v>249</v>
      </c>
      <c r="C28" s="38">
        <f>C24</f>
        <v>5.6249999999999994E-2</v>
      </c>
    </row>
    <row r="29" spans="2:10" x14ac:dyDescent="0.3">
      <c r="B29" t="s">
        <v>255</v>
      </c>
      <c r="C29" s="16">
        <f xml:space="preserve"> E7/(D7+E7)</f>
        <v>0.98087297694948505</v>
      </c>
    </row>
    <row r="30" spans="2:10" x14ac:dyDescent="0.3">
      <c r="B30" t="s">
        <v>246</v>
      </c>
      <c r="C30" s="38">
        <f>C19</f>
        <v>0.1375708266600961</v>
      </c>
    </row>
    <row r="31" spans="2:10" ht="15" thickBot="1" x14ac:dyDescent="0.35"/>
    <row r="32" spans="2:10" ht="15" thickBot="1" x14ac:dyDescent="0.35">
      <c r="B32" s="57" t="s">
        <v>256</v>
      </c>
      <c r="C32" s="58">
        <f>C27*C28+C29*C30</f>
        <v>0.13601540133408152</v>
      </c>
    </row>
    <row r="33" ht="15" thickTop="1" x14ac:dyDescent="0.3"/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68B3F-8BBC-495C-8E48-BE417BF72B38}">
  <dimension ref="B2:N38"/>
  <sheetViews>
    <sheetView workbookViewId="0">
      <selection activeCell="P25" sqref="P25"/>
    </sheetView>
  </sheetViews>
  <sheetFormatPr defaultRowHeight="14.4" x14ac:dyDescent="0.3"/>
  <cols>
    <col min="1" max="1" width="1.88671875" customWidth="1"/>
    <col min="2" max="2" width="21.5546875" customWidth="1"/>
  </cols>
  <sheetData>
    <row r="2" spans="2:14" ht="15" thickBot="1" x14ac:dyDescent="0.35">
      <c r="B2" s="79"/>
      <c r="C2" s="80">
        <v>42064</v>
      </c>
      <c r="D2" s="80">
        <v>42430</v>
      </c>
      <c r="E2" s="80">
        <v>42795</v>
      </c>
      <c r="F2" s="80">
        <v>43160</v>
      </c>
      <c r="G2" s="80">
        <v>43525</v>
      </c>
      <c r="H2" s="80">
        <v>43891</v>
      </c>
      <c r="I2" s="80">
        <v>44256</v>
      </c>
      <c r="J2" s="80">
        <v>44621</v>
      </c>
      <c r="K2" s="80">
        <v>44986</v>
      </c>
      <c r="L2" s="80">
        <v>45352</v>
      </c>
      <c r="M2" s="80">
        <v>45717</v>
      </c>
      <c r="N2" s="80">
        <v>46082</v>
      </c>
    </row>
    <row r="3" spans="2:14" x14ac:dyDescent="0.3">
      <c r="B3" s="47" t="s">
        <v>287</v>
      </c>
      <c r="C3" s="48">
        <v>89</v>
      </c>
      <c r="D3" s="48">
        <v>89</v>
      </c>
      <c r="E3" s="48">
        <v>89</v>
      </c>
      <c r="F3" s="48">
        <v>89</v>
      </c>
      <c r="G3" s="48">
        <v>89</v>
      </c>
      <c r="H3" s="48">
        <v>89</v>
      </c>
      <c r="I3" s="48">
        <v>89</v>
      </c>
      <c r="J3" s="48">
        <v>89</v>
      </c>
      <c r="K3" s="48">
        <v>89</v>
      </c>
      <c r="L3" s="48">
        <v>89</v>
      </c>
      <c r="M3" s="48">
        <v>89</v>
      </c>
      <c r="N3" s="48">
        <v>89</v>
      </c>
    </row>
    <row r="4" spans="2:14" x14ac:dyDescent="0.3">
      <c r="B4" s="45" t="s">
        <v>34</v>
      </c>
      <c r="C4" s="68">
        <v>2995</v>
      </c>
      <c r="D4" s="68">
        <v>3418</v>
      </c>
      <c r="E4" s="68">
        <v>4144</v>
      </c>
      <c r="F4" s="68">
        <v>5001</v>
      </c>
      <c r="G4" s="68">
        <v>5981</v>
      </c>
      <c r="H4" s="68">
        <v>6580</v>
      </c>
      <c r="I4" s="68">
        <v>7408</v>
      </c>
      <c r="J4" s="68">
        <v>9214</v>
      </c>
      <c r="K4" s="68">
        <v>11762</v>
      </c>
      <c r="L4" s="68">
        <v>9304</v>
      </c>
      <c r="M4" s="68">
        <v>11535</v>
      </c>
      <c r="N4" s="68">
        <v>15614</v>
      </c>
    </row>
    <row r="5" spans="2:14" ht="15" thickBot="1" x14ac:dyDescent="0.35">
      <c r="B5" s="45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</row>
    <row r="6" spans="2:14" x14ac:dyDescent="0.3">
      <c r="B6" s="69" t="s">
        <v>288</v>
      </c>
      <c r="C6" s="70">
        <v>100</v>
      </c>
      <c r="D6" s="70">
        <v>113</v>
      </c>
      <c r="E6" s="71">
        <v>1882</v>
      </c>
      <c r="F6" s="71">
        <v>1691</v>
      </c>
      <c r="G6" s="71">
        <v>2393</v>
      </c>
      <c r="H6" s="71">
        <v>3562</v>
      </c>
      <c r="I6" s="71">
        <v>5638</v>
      </c>
      <c r="J6" s="71">
        <v>7275</v>
      </c>
      <c r="K6" s="71">
        <v>9367</v>
      </c>
      <c r="L6" s="71">
        <v>15528</v>
      </c>
      <c r="M6" s="71">
        <v>20777</v>
      </c>
      <c r="N6" s="71">
        <v>30621</v>
      </c>
    </row>
    <row r="7" spans="2:14" x14ac:dyDescent="0.3">
      <c r="B7" s="72" t="s">
        <v>289</v>
      </c>
      <c r="C7" s="48">
        <v>0</v>
      </c>
      <c r="D7" s="48">
        <v>0</v>
      </c>
      <c r="E7" s="48">
        <v>0</v>
      </c>
      <c r="F7" s="48">
        <v>0</v>
      </c>
      <c r="G7" s="48">
        <v>32</v>
      </c>
      <c r="H7" s="48">
        <v>17</v>
      </c>
      <c r="I7" s="48">
        <v>9</v>
      </c>
      <c r="J7" s="48">
        <v>2</v>
      </c>
      <c r="K7" s="48">
        <v>0</v>
      </c>
      <c r="L7" s="73">
        <v>3302</v>
      </c>
      <c r="M7" s="48">
        <v>595</v>
      </c>
      <c r="N7" s="48">
        <v>93</v>
      </c>
    </row>
    <row r="8" spans="2:14" x14ac:dyDescent="0.3">
      <c r="B8" s="72" t="s">
        <v>290</v>
      </c>
      <c r="C8" s="48">
        <v>100</v>
      </c>
      <c r="D8" s="48">
        <v>113</v>
      </c>
      <c r="E8" s="73">
        <v>1882</v>
      </c>
      <c r="F8" s="73">
        <v>1691</v>
      </c>
      <c r="G8" s="73">
        <v>2353</v>
      </c>
      <c r="H8" s="73">
        <v>2291</v>
      </c>
      <c r="I8" s="73">
        <v>4367</v>
      </c>
      <c r="J8" s="73">
        <v>5914</v>
      </c>
      <c r="K8" s="73">
        <v>7494</v>
      </c>
      <c r="L8" s="73">
        <v>9877</v>
      </c>
      <c r="M8" s="73">
        <v>17501</v>
      </c>
      <c r="N8" s="73">
        <v>27355</v>
      </c>
    </row>
    <row r="9" spans="2:14" x14ac:dyDescent="0.3">
      <c r="B9" s="72" t="s">
        <v>291</v>
      </c>
      <c r="C9" s="48">
        <v>0</v>
      </c>
      <c r="D9" s="48">
        <v>0</v>
      </c>
      <c r="E9" s="48">
        <v>0</v>
      </c>
      <c r="F9" s="48">
        <v>0</v>
      </c>
      <c r="G9" s="48">
        <v>0</v>
      </c>
      <c r="H9" s="73">
        <v>1243</v>
      </c>
      <c r="I9" s="73">
        <v>1256</v>
      </c>
      <c r="J9" s="73">
        <v>1359</v>
      </c>
      <c r="K9" s="73">
        <v>1873</v>
      </c>
      <c r="L9" s="73">
        <v>2349</v>
      </c>
      <c r="M9" s="73">
        <v>2681</v>
      </c>
      <c r="N9" s="73">
        <v>3173</v>
      </c>
    </row>
    <row r="10" spans="2:14" ht="15" thickBot="1" x14ac:dyDescent="0.35">
      <c r="B10" s="72" t="s">
        <v>292</v>
      </c>
      <c r="C10" s="48">
        <v>0</v>
      </c>
      <c r="D10" s="48">
        <v>0</v>
      </c>
      <c r="E10" s="48">
        <v>0</v>
      </c>
      <c r="F10" s="48">
        <v>0</v>
      </c>
      <c r="G10" s="48">
        <v>8</v>
      </c>
      <c r="H10" s="48">
        <v>11</v>
      </c>
      <c r="I10" s="48">
        <v>6</v>
      </c>
      <c r="J10" s="48">
        <v>0</v>
      </c>
      <c r="K10" s="48">
        <v>0</v>
      </c>
      <c r="L10" s="48">
        <v>0</v>
      </c>
      <c r="M10" s="48">
        <v>0</v>
      </c>
      <c r="N10" s="48">
        <v>0</v>
      </c>
    </row>
    <row r="11" spans="2:14" x14ac:dyDescent="0.3">
      <c r="B11" s="74" t="s">
        <v>293</v>
      </c>
      <c r="C11" s="75">
        <v>2684</v>
      </c>
      <c r="D11" s="75">
        <v>2723</v>
      </c>
      <c r="E11" s="75">
        <v>2293</v>
      </c>
      <c r="F11" s="75">
        <v>2740</v>
      </c>
      <c r="G11" s="75">
        <v>3247</v>
      </c>
      <c r="H11" s="75">
        <v>3313</v>
      </c>
      <c r="I11" s="75">
        <v>3309</v>
      </c>
      <c r="J11" s="75">
        <v>4610</v>
      </c>
      <c r="K11" s="75">
        <v>5802</v>
      </c>
      <c r="L11" s="75">
        <v>6626</v>
      </c>
      <c r="M11" s="75">
        <v>8244</v>
      </c>
      <c r="N11" s="75">
        <v>14237</v>
      </c>
    </row>
    <row r="12" spans="2:14" x14ac:dyDescent="0.3">
      <c r="B12" s="76" t="s">
        <v>294</v>
      </c>
      <c r="C12" s="46">
        <v>0</v>
      </c>
      <c r="D12" s="46">
        <v>0</v>
      </c>
      <c r="E12" s="46">
        <v>26</v>
      </c>
      <c r="F12" s="46">
        <v>-2</v>
      </c>
      <c r="G12" s="46">
        <v>14</v>
      </c>
      <c r="H12" s="46">
        <v>4</v>
      </c>
      <c r="I12" s="46">
        <v>5</v>
      </c>
      <c r="J12" s="46">
        <v>30</v>
      </c>
      <c r="K12" s="46">
        <v>53</v>
      </c>
      <c r="L12" s="46">
        <v>0</v>
      </c>
      <c r="M12" s="46">
        <v>0</v>
      </c>
      <c r="N12" s="46">
        <v>0</v>
      </c>
    </row>
    <row r="13" spans="2:14" x14ac:dyDescent="0.3">
      <c r="B13" s="76" t="s">
        <v>265</v>
      </c>
      <c r="C13" s="68">
        <v>1940</v>
      </c>
      <c r="D13" s="68">
        <v>1655</v>
      </c>
      <c r="E13" s="46">
        <v>783</v>
      </c>
      <c r="F13" s="46">
        <v>878</v>
      </c>
      <c r="G13" s="46">
        <v>906</v>
      </c>
      <c r="H13" s="46">
        <v>596</v>
      </c>
      <c r="I13" s="46">
        <v>789</v>
      </c>
      <c r="J13" s="68">
        <v>1294</v>
      </c>
      <c r="K13" s="68">
        <v>1214</v>
      </c>
      <c r="L13" s="68">
        <v>1410</v>
      </c>
      <c r="M13" s="68">
        <v>1963</v>
      </c>
      <c r="N13" s="68">
        <v>2864</v>
      </c>
    </row>
    <row r="14" spans="2:14" x14ac:dyDescent="0.3">
      <c r="B14" s="76" t="s">
        <v>266</v>
      </c>
      <c r="C14" s="46">
        <v>160</v>
      </c>
      <c r="D14" s="46">
        <v>710</v>
      </c>
      <c r="E14" s="46">
        <v>943</v>
      </c>
      <c r="F14" s="46">
        <v>233</v>
      </c>
      <c r="G14" s="46">
        <v>290</v>
      </c>
      <c r="H14" s="46">
        <v>386</v>
      </c>
      <c r="I14" s="46">
        <v>479</v>
      </c>
      <c r="J14" s="46">
        <v>532</v>
      </c>
      <c r="K14" s="46">
        <v>718</v>
      </c>
      <c r="L14" s="68">
        <v>1085</v>
      </c>
      <c r="M14" s="68">
        <v>2140</v>
      </c>
      <c r="N14" s="68">
        <v>4745</v>
      </c>
    </row>
    <row r="15" spans="2:14" ht="15" thickBot="1" x14ac:dyDescent="0.35">
      <c r="B15" s="76" t="s">
        <v>267</v>
      </c>
      <c r="C15" s="46">
        <v>585</v>
      </c>
      <c r="D15" s="46">
        <v>358</v>
      </c>
      <c r="E15" s="46">
        <v>541</v>
      </c>
      <c r="F15" s="68">
        <v>1631</v>
      </c>
      <c r="G15" s="68">
        <v>2037</v>
      </c>
      <c r="H15" s="68">
        <v>2327</v>
      </c>
      <c r="I15" s="68">
        <v>2036</v>
      </c>
      <c r="J15" s="68">
        <v>2754</v>
      </c>
      <c r="K15" s="68">
        <v>3817</v>
      </c>
      <c r="L15" s="68">
        <v>4131</v>
      </c>
      <c r="M15" s="68">
        <v>4141</v>
      </c>
      <c r="N15" s="68">
        <v>6628</v>
      </c>
    </row>
    <row r="16" spans="2:14" ht="15" thickBot="1" x14ac:dyDescent="0.35">
      <c r="B16" s="69" t="s">
        <v>81</v>
      </c>
      <c r="C16" s="71">
        <v>5868</v>
      </c>
      <c r="D16" s="71">
        <v>6342</v>
      </c>
      <c r="E16" s="71">
        <v>8408</v>
      </c>
      <c r="F16" s="71">
        <v>9521</v>
      </c>
      <c r="G16" s="71">
        <v>11710</v>
      </c>
      <c r="H16" s="71">
        <v>13544</v>
      </c>
      <c r="I16" s="71">
        <v>16444</v>
      </c>
      <c r="J16" s="71">
        <v>21188</v>
      </c>
      <c r="K16" s="71">
        <v>27020</v>
      </c>
      <c r="L16" s="71">
        <v>31547</v>
      </c>
      <c r="M16" s="71">
        <v>40645</v>
      </c>
      <c r="N16" s="71">
        <v>60561</v>
      </c>
    </row>
    <row r="17" spans="2:14" ht="15" thickBot="1" x14ac:dyDescent="0.35">
      <c r="B17" s="69"/>
      <c r="C17" s="71"/>
      <c r="D17" s="71"/>
      <c r="E17" s="71"/>
      <c r="F17" s="71"/>
      <c r="G17" s="71"/>
      <c r="H17" s="71"/>
      <c r="I17" s="71"/>
      <c r="J17" s="71"/>
      <c r="K17" s="71"/>
      <c r="L17" s="71"/>
      <c r="M17" s="71"/>
      <c r="N17" s="71"/>
    </row>
    <row r="18" spans="2:14" x14ac:dyDescent="0.3">
      <c r="B18" s="74" t="s">
        <v>295</v>
      </c>
      <c r="C18" s="77">
        <v>699</v>
      </c>
      <c r="D18" s="77">
        <v>771</v>
      </c>
      <c r="E18" s="75">
        <v>1189</v>
      </c>
      <c r="F18" s="75">
        <v>1474</v>
      </c>
      <c r="G18" s="75">
        <v>1567</v>
      </c>
      <c r="H18" s="75">
        <v>2633</v>
      </c>
      <c r="I18" s="75">
        <v>2523</v>
      </c>
      <c r="J18" s="75">
        <v>2544</v>
      </c>
      <c r="K18" s="75">
        <v>2998</v>
      </c>
      <c r="L18" s="75">
        <v>3709</v>
      </c>
      <c r="M18" s="75">
        <v>4062</v>
      </c>
      <c r="N18" s="75">
        <v>6878</v>
      </c>
    </row>
    <row r="19" spans="2:14" x14ac:dyDescent="0.3">
      <c r="B19" s="76" t="s">
        <v>271</v>
      </c>
      <c r="C19" s="46">
        <v>104</v>
      </c>
      <c r="D19" s="46">
        <v>85</v>
      </c>
      <c r="E19" s="46">
        <v>85</v>
      </c>
      <c r="F19" s="46">
        <v>85</v>
      </c>
      <c r="G19" s="46">
        <v>85</v>
      </c>
      <c r="H19" s="46">
        <v>108</v>
      </c>
      <c r="I19" s="46">
        <v>108</v>
      </c>
      <c r="J19" s="46">
        <v>136</v>
      </c>
      <c r="K19" s="46">
        <v>144</v>
      </c>
      <c r="L19" s="46">
        <v>163</v>
      </c>
      <c r="M19" s="46">
        <v>163</v>
      </c>
      <c r="N19" s="46">
        <v>440</v>
      </c>
    </row>
    <row r="20" spans="2:14" x14ac:dyDescent="0.3">
      <c r="B20" s="76" t="s">
        <v>272</v>
      </c>
      <c r="C20" s="46">
        <v>156</v>
      </c>
      <c r="D20" s="46">
        <v>137</v>
      </c>
      <c r="E20" s="46">
        <v>198</v>
      </c>
      <c r="F20" s="46">
        <v>341</v>
      </c>
      <c r="G20" s="46">
        <v>386</v>
      </c>
      <c r="H20" s="68">
        <v>1473</v>
      </c>
      <c r="I20" s="68">
        <v>1617</v>
      </c>
      <c r="J20" s="68">
        <v>1853</v>
      </c>
      <c r="K20" s="68">
        <v>2403</v>
      </c>
      <c r="L20" s="68">
        <v>3546</v>
      </c>
      <c r="M20" s="68">
        <v>4177</v>
      </c>
      <c r="N20" s="68">
        <v>5239</v>
      </c>
    </row>
    <row r="21" spans="2:14" x14ac:dyDescent="0.3">
      <c r="B21" s="76" t="s">
        <v>273</v>
      </c>
      <c r="C21" s="46">
        <v>719</v>
      </c>
      <c r="D21" s="46">
        <v>445</v>
      </c>
      <c r="E21" s="46">
        <v>473</v>
      </c>
      <c r="F21" s="46">
        <v>563</v>
      </c>
      <c r="G21" s="46">
        <v>630</v>
      </c>
      <c r="H21" s="46">
        <v>724</v>
      </c>
      <c r="I21" s="46">
        <v>739</v>
      </c>
      <c r="J21" s="46">
        <v>768</v>
      </c>
      <c r="K21" s="46">
        <v>838</v>
      </c>
      <c r="L21" s="46">
        <v>899</v>
      </c>
      <c r="M21" s="68">
        <v>1012</v>
      </c>
      <c r="N21" s="68">
        <v>1197</v>
      </c>
    </row>
    <row r="22" spans="2:14" x14ac:dyDescent="0.3">
      <c r="B22" s="76" t="s">
        <v>274</v>
      </c>
      <c r="C22" s="46">
        <v>24</v>
      </c>
      <c r="D22" s="46">
        <v>18</v>
      </c>
      <c r="E22" s="46">
        <v>24</v>
      </c>
      <c r="F22" s="46">
        <v>34</v>
      </c>
      <c r="G22" s="46">
        <v>50</v>
      </c>
      <c r="H22" s="46">
        <v>70</v>
      </c>
      <c r="I22" s="46">
        <v>76</v>
      </c>
      <c r="J22" s="46">
        <v>96</v>
      </c>
      <c r="K22" s="46">
        <v>130</v>
      </c>
      <c r="L22" s="46">
        <v>110</v>
      </c>
      <c r="M22" s="46">
        <v>127</v>
      </c>
      <c r="N22" s="46">
        <v>176</v>
      </c>
    </row>
    <row r="23" spans="2:14" x14ac:dyDescent="0.3">
      <c r="B23" s="76" t="s">
        <v>296</v>
      </c>
      <c r="C23" s="46">
        <v>0</v>
      </c>
      <c r="D23" s="46">
        <v>0</v>
      </c>
      <c r="E23" s="46">
        <v>46</v>
      </c>
      <c r="F23" s="46">
        <v>72</v>
      </c>
      <c r="G23" s="46">
        <v>92</v>
      </c>
      <c r="H23" s="46">
        <v>119</v>
      </c>
      <c r="I23" s="46">
        <v>142</v>
      </c>
      <c r="J23" s="46">
        <v>159</v>
      </c>
      <c r="K23" s="46">
        <v>204</v>
      </c>
      <c r="L23" s="46">
        <v>212</v>
      </c>
      <c r="M23" s="46">
        <v>228</v>
      </c>
      <c r="N23" s="46">
        <v>264</v>
      </c>
    </row>
    <row r="24" spans="2:14" x14ac:dyDescent="0.3">
      <c r="B24" s="76" t="s">
        <v>275</v>
      </c>
      <c r="C24" s="46">
        <v>189</v>
      </c>
      <c r="D24" s="46">
        <v>107</v>
      </c>
      <c r="E24" s="46">
        <v>138</v>
      </c>
      <c r="F24" s="46">
        <v>203</v>
      </c>
      <c r="G24" s="46">
        <v>251</v>
      </c>
      <c r="H24" s="46">
        <v>313</v>
      </c>
      <c r="I24" s="46">
        <v>309</v>
      </c>
      <c r="J24" s="46">
        <v>321</v>
      </c>
      <c r="K24" s="46">
        <v>376</v>
      </c>
      <c r="L24" s="46">
        <v>173</v>
      </c>
      <c r="M24" s="46">
        <v>193</v>
      </c>
      <c r="N24" s="46">
        <v>379</v>
      </c>
    </row>
    <row r="25" spans="2:14" x14ac:dyDescent="0.3">
      <c r="B25" s="76" t="s">
        <v>277</v>
      </c>
      <c r="C25" s="46">
        <v>17</v>
      </c>
      <c r="D25" s="46">
        <v>11</v>
      </c>
      <c r="E25" s="46">
        <v>10</v>
      </c>
      <c r="F25" s="46">
        <v>16</v>
      </c>
      <c r="G25" s="46">
        <v>22</v>
      </c>
      <c r="H25" s="46">
        <v>28</v>
      </c>
      <c r="I25" s="46">
        <v>30</v>
      </c>
      <c r="J25" s="46">
        <v>38</v>
      </c>
      <c r="K25" s="46">
        <v>40</v>
      </c>
      <c r="L25" s="46">
        <v>50</v>
      </c>
      <c r="M25" s="46">
        <v>57</v>
      </c>
      <c r="N25" s="46">
        <v>68</v>
      </c>
    </row>
    <row r="26" spans="2:14" x14ac:dyDescent="0.3">
      <c r="B26" s="76" t="s">
        <v>278</v>
      </c>
      <c r="C26" s="46">
        <v>0</v>
      </c>
      <c r="D26" s="46">
        <v>13</v>
      </c>
      <c r="E26" s="46">
        <v>318</v>
      </c>
      <c r="F26" s="46">
        <v>319</v>
      </c>
      <c r="G26" s="46">
        <v>319</v>
      </c>
      <c r="H26" s="46">
        <v>333</v>
      </c>
      <c r="I26" s="46">
        <v>320</v>
      </c>
      <c r="J26" s="46">
        <v>320</v>
      </c>
      <c r="K26" s="46">
        <v>320</v>
      </c>
      <c r="L26" s="46">
        <v>320</v>
      </c>
      <c r="M26" s="46">
        <v>320</v>
      </c>
      <c r="N26" s="68">
        <v>1782</v>
      </c>
    </row>
    <row r="27" spans="2:14" ht="15" thickBot="1" x14ac:dyDescent="0.35">
      <c r="B27" s="76" t="s">
        <v>279</v>
      </c>
      <c r="C27" s="46">
        <v>73</v>
      </c>
      <c r="D27" s="46">
        <v>20</v>
      </c>
      <c r="E27" s="46">
        <v>26</v>
      </c>
      <c r="F27" s="46">
        <v>69</v>
      </c>
      <c r="G27" s="46">
        <v>96</v>
      </c>
      <c r="H27" s="46">
        <v>135</v>
      </c>
      <c r="I27" s="46">
        <v>158</v>
      </c>
      <c r="J27" s="46">
        <v>157</v>
      </c>
      <c r="K27" s="46">
        <v>205</v>
      </c>
      <c r="L27" s="46">
        <v>305</v>
      </c>
      <c r="M27" s="46">
        <v>369</v>
      </c>
      <c r="N27" s="46">
        <v>540</v>
      </c>
    </row>
    <row r="28" spans="2:14" x14ac:dyDescent="0.3">
      <c r="B28" s="78" t="s">
        <v>297</v>
      </c>
      <c r="C28" s="75">
        <v>1282</v>
      </c>
      <c r="D28" s="77">
        <v>836</v>
      </c>
      <c r="E28" s="75">
        <v>1318</v>
      </c>
      <c r="F28" s="75">
        <v>1704</v>
      </c>
      <c r="G28" s="75">
        <v>1931</v>
      </c>
      <c r="H28" s="75">
        <v>3303</v>
      </c>
      <c r="I28" s="75">
        <v>3499</v>
      </c>
      <c r="J28" s="75">
        <v>3848</v>
      </c>
      <c r="K28" s="75">
        <v>4660</v>
      </c>
      <c r="L28" s="75">
        <v>5778</v>
      </c>
      <c r="M28" s="75">
        <v>6646</v>
      </c>
      <c r="N28" s="75">
        <v>10085</v>
      </c>
    </row>
    <row r="29" spans="2:14" x14ac:dyDescent="0.3">
      <c r="B29" s="76" t="s">
        <v>298</v>
      </c>
      <c r="C29" s="46">
        <v>583</v>
      </c>
      <c r="D29" s="46">
        <v>66</v>
      </c>
      <c r="E29" s="46">
        <v>130</v>
      </c>
      <c r="F29" s="46">
        <v>230</v>
      </c>
      <c r="G29" s="46">
        <v>365</v>
      </c>
      <c r="H29" s="46">
        <v>670</v>
      </c>
      <c r="I29" s="46">
        <v>976</v>
      </c>
      <c r="J29" s="68">
        <v>1304</v>
      </c>
      <c r="K29" s="68">
        <v>1662</v>
      </c>
      <c r="L29" s="68">
        <v>2069</v>
      </c>
      <c r="M29" s="68">
        <v>2584</v>
      </c>
      <c r="N29" s="68">
        <v>3207</v>
      </c>
    </row>
    <row r="30" spans="2:14" x14ac:dyDescent="0.3">
      <c r="B30" s="47" t="s">
        <v>299</v>
      </c>
      <c r="C30" s="48">
        <v>55</v>
      </c>
      <c r="D30" s="48">
        <v>107</v>
      </c>
      <c r="E30" s="48">
        <v>152</v>
      </c>
      <c r="F30" s="48">
        <v>43</v>
      </c>
      <c r="G30" s="48">
        <v>32</v>
      </c>
      <c r="H30" s="48">
        <v>18</v>
      </c>
      <c r="I30" s="48">
        <v>32</v>
      </c>
      <c r="J30" s="48">
        <v>85</v>
      </c>
      <c r="K30" s="48">
        <v>144</v>
      </c>
      <c r="L30" s="48">
        <v>97</v>
      </c>
      <c r="M30" s="48">
        <v>105</v>
      </c>
      <c r="N30" s="48">
        <v>163</v>
      </c>
    </row>
    <row r="31" spans="2:14" ht="15" thickBot="1" x14ac:dyDescent="0.35">
      <c r="B31" s="45" t="s">
        <v>40</v>
      </c>
      <c r="C31" s="46">
        <v>3</v>
      </c>
      <c r="D31" s="46">
        <v>30</v>
      </c>
      <c r="E31" s="46">
        <v>431</v>
      </c>
      <c r="F31" s="46">
        <v>36</v>
      </c>
      <c r="G31" s="46">
        <v>108</v>
      </c>
      <c r="H31" s="46">
        <v>158</v>
      </c>
      <c r="I31" s="68">
        <v>2824</v>
      </c>
      <c r="J31" s="46">
        <v>294</v>
      </c>
      <c r="K31" s="68">
        <v>2515</v>
      </c>
      <c r="L31" s="68">
        <v>2345</v>
      </c>
      <c r="M31" s="68">
        <v>1988</v>
      </c>
      <c r="N31" s="68">
        <v>3506</v>
      </c>
    </row>
    <row r="32" spans="2:14" x14ac:dyDescent="0.3">
      <c r="B32" s="69" t="s">
        <v>300</v>
      </c>
      <c r="C32" s="71">
        <v>5111</v>
      </c>
      <c r="D32" s="71">
        <v>5434</v>
      </c>
      <c r="E32" s="71">
        <v>6636</v>
      </c>
      <c r="F32" s="71">
        <v>7968</v>
      </c>
      <c r="G32" s="71">
        <v>10003</v>
      </c>
      <c r="H32" s="71">
        <v>10735</v>
      </c>
      <c r="I32" s="71">
        <v>11065</v>
      </c>
      <c r="J32" s="71">
        <v>18265</v>
      </c>
      <c r="K32" s="71">
        <v>21363</v>
      </c>
      <c r="L32" s="71">
        <v>25396</v>
      </c>
      <c r="M32" s="71">
        <v>34490</v>
      </c>
      <c r="N32" s="71">
        <v>50014</v>
      </c>
    </row>
    <row r="33" spans="2:14" x14ac:dyDescent="0.3">
      <c r="B33" s="72" t="s">
        <v>260</v>
      </c>
      <c r="C33" s="73">
        <v>4049</v>
      </c>
      <c r="D33" s="73">
        <v>4447</v>
      </c>
      <c r="E33" s="73">
        <v>4926</v>
      </c>
      <c r="F33" s="73">
        <v>5925</v>
      </c>
      <c r="G33" s="73">
        <v>7039</v>
      </c>
      <c r="H33" s="73">
        <v>8103</v>
      </c>
      <c r="I33" s="73">
        <v>8408</v>
      </c>
      <c r="J33" s="73">
        <v>13609</v>
      </c>
      <c r="K33" s="73">
        <v>16584</v>
      </c>
      <c r="L33" s="73">
        <v>19051</v>
      </c>
      <c r="M33" s="73">
        <v>28184</v>
      </c>
      <c r="N33" s="73">
        <v>42743</v>
      </c>
    </row>
    <row r="34" spans="2:14" x14ac:dyDescent="0.3">
      <c r="B34" s="72" t="s">
        <v>301</v>
      </c>
      <c r="C34" s="48">
        <v>190</v>
      </c>
      <c r="D34" s="48">
        <v>192</v>
      </c>
      <c r="E34" s="48">
        <v>208</v>
      </c>
      <c r="F34" s="48">
        <v>296</v>
      </c>
      <c r="G34" s="48">
        <v>420</v>
      </c>
      <c r="H34" s="48">
        <v>312</v>
      </c>
      <c r="I34" s="48">
        <v>366</v>
      </c>
      <c r="J34" s="48">
        <v>565</v>
      </c>
      <c r="K34" s="48">
        <v>674</v>
      </c>
      <c r="L34" s="73">
        <v>1018</v>
      </c>
      <c r="M34" s="73">
        <v>1068</v>
      </c>
      <c r="N34" s="48">
        <v>916</v>
      </c>
    </row>
    <row r="35" spans="2:14" x14ac:dyDescent="0.3">
      <c r="B35" s="72" t="s">
        <v>302</v>
      </c>
      <c r="C35" s="48">
        <v>214</v>
      </c>
      <c r="D35" s="48">
        <v>116</v>
      </c>
      <c r="E35" s="48">
        <v>779</v>
      </c>
      <c r="F35" s="48">
        <v>618</v>
      </c>
      <c r="G35" s="73">
        <v>1066</v>
      </c>
      <c r="H35" s="48">
        <v>381</v>
      </c>
      <c r="I35" s="48">
        <v>560</v>
      </c>
      <c r="J35" s="73">
        <v>1573</v>
      </c>
      <c r="K35" s="73">
        <v>1343</v>
      </c>
      <c r="L35" s="73">
        <v>1526</v>
      </c>
      <c r="M35" s="73">
        <v>1584</v>
      </c>
      <c r="N35" s="73">
        <v>1917</v>
      </c>
    </row>
    <row r="36" spans="2:14" x14ac:dyDescent="0.3">
      <c r="B36" s="72" t="s">
        <v>262</v>
      </c>
      <c r="C36" s="48">
        <v>47</v>
      </c>
      <c r="D36" s="48">
        <v>87</v>
      </c>
      <c r="E36" s="48">
        <v>122</v>
      </c>
      <c r="F36" s="48">
        <v>141</v>
      </c>
      <c r="G36" s="48">
        <v>25</v>
      </c>
      <c r="H36" s="48">
        <v>142</v>
      </c>
      <c r="I36" s="48">
        <v>109</v>
      </c>
      <c r="J36" s="48">
        <v>29</v>
      </c>
      <c r="K36" s="48">
        <v>167</v>
      </c>
      <c r="L36" s="48">
        <v>151</v>
      </c>
      <c r="M36" s="48">
        <v>324</v>
      </c>
      <c r="N36" s="48">
        <v>399</v>
      </c>
    </row>
    <row r="37" spans="2:14" ht="15" thickBot="1" x14ac:dyDescent="0.35">
      <c r="B37" s="72" t="s">
        <v>263</v>
      </c>
      <c r="C37" s="48">
        <v>611</v>
      </c>
      <c r="D37" s="48">
        <v>591</v>
      </c>
      <c r="E37" s="48">
        <v>602</v>
      </c>
      <c r="F37" s="48">
        <v>988</v>
      </c>
      <c r="G37" s="73">
        <v>1452</v>
      </c>
      <c r="H37" s="73">
        <v>1797</v>
      </c>
      <c r="I37" s="73">
        <v>1622</v>
      </c>
      <c r="J37" s="73">
        <v>2489</v>
      </c>
      <c r="K37" s="73">
        <v>2595</v>
      </c>
      <c r="L37" s="73">
        <v>3650</v>
      </c>
      <c r="M37" s="73">
        <v>3330</v>
      </c>
      <c r="N37" s="73">
        <v>4039</v>
      </c>
    </row>
    <row r="38" spans="2:14" x14ac:dyDescent="0.3">
      <c r="B38" s="74" t="s">
        <v>85</v>
      </c>
      <c r="C38" s="75">
        <v>5868</v>
      </c>
      <c r="D38" s="75">
        <v>6342</v>
      </c>
      <c r="E38" s="75">
        <v>8408</v>
      </c>
      <c r="F38" s="75">
        <v>9521</v>
      </c>
      <c r="G38" s="75">
        <v>11710</v>
      </c>
      <c r="H38" s="75">
        <v>13544</v>
      </c>
      <c r="I38" s="75">
        <v>16444</v>
      </c>
      <c r="J38" s="75">
        <v>21188</v>
      </c>
      <c r="K38" s="75">
        <v>27020</v>
      </c>
      <c r="L38" s="75">
        <v>31547</v>
      </c>
      <c r="M38" s="75">
        <v>40645</v>
      </c>
      <c r="N38" s="75">
        <v>60561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E6A01-449D-4989-8735-F81DB113D8BC}">
  <dimension ref="B2:L59"/>
  <sheetViews>
    <sheetView topLeftCell="A20" zoomScale="87" workbookViewId="0">
      <selection activeCell="L56" sqref="L56"/>
    </sheetView>
  </sheetViews>
  <sheetFormatPr defaultRowHeight="14.4" x14ac:dyDescent="0.3"/>
  <cols>
    <col min="1" max="1" width="1.88671875" customWidth="1"/>
    <col min="2" max="2" width="28.5546875" bestFit="1" customWidth="1"/>
    <col min="7" max="7" width="9.5546875" bestFit="1" customWidth="1"/>
    <col min="8" max="8" width="12" customWidth="1"/>
    <col min="9" max="9" width="11" customWidth="1"/>
    <col min="10" max="10" width="13.21875" bestFit="1" customWidth="1"/>
    <col min="11" max="11" width="13.6640625" customWidth="1"/>
    <col min="12" max="12" width="10.5546875" bestFit="1" customWidth="1"/>
  </cols>
  <sheetData>
    <row r="2" spans="2:12" x14ac:dyDescent="0.3">
      <c r="B2" s="59" t="s">
        <v>258</v>
      </c>
      <c r="C2" s="59"/>
      <c r="D2" s="59"/>
      <c r="E2" s="59"/>
      <c r="F2" s="59"/>
      <c r="G2" s="60">
        <v>43891</v>
      </c>
      <c r="H2" s="60">
        <v>44256</v>
      </c>
      <c r="I2" s="60">
        <v>44621</v>
      </c>
      <c r="J2" s="60">
        <v>44986</v>
      </c>
      <c r="K2" s="60">
        <v>45352</v>
      </c>
      <c r="L2" s="60">
        <v>45717</v>
      </c>
    </row>
    <row r="4" spans="2:12" x14ac:dyDescent="0.3">
      <c r="B4" s="14" t="s">
        <v>259</v>
      </c>
      <c r="G4" s="61"/>
      <c r="H4" s="61"/>
      <c r="I4" s="61"/>
      <c r="J4" s="61"/>
      <c r="K4" s="61"/>
      <c r="L4" s="61"/>
    </row>
    <row r="5" spans="2:12" x14ac:dyDescent="0.3">
      <c r="B5" t="s">
        <v>260</v>
      </c>
      <c r="G5" s="61">
        <f>'Raw FS'!I33</f>
        <v>8408</v>
      </c>
      <c r="H5" s="61">
        <f>'Raw FS'!J33</f>
        <v>13609</v>
      </c>
      <c r="I5" s="61">
        <f>'Raw FS'!K33</f>
        <v>16584</v>
      </c>
      <c r="J5" s="61">
        <f>'Raw FS'!L33</f>
        <v>19051</v>
      </c>
      <c r="K5" s="61">
        <f>'Raw FS'!M33</f>
        <v>28184</v>
      </c>
      <c r="L5" s="61">
        <f>'Raw FS'!N33</f>
        <v>42743</v>
      </c>
    </row>
    <row r="6" spans="2:12" x14ac:dyDescent="0.3">
      <c r="B6" t="s">
        <v>261</v>
      </c>
      <c r="G6" s="61">
        <f>'Raw FS'!I34</f>
        <v>366</v>
      </c>
      <c r="H6" s="61">
        <f>'Raw FS'!J34</f>
        <v>565</v>
      </c>
      <c r="I6" s="61">
        <f>'Raw FS'!K34</f>
        <v>674</v>
      </c>
      <c r="J6" s="61">
        <f>'Raw FS'!L34</f>
        <v>1018</v>
      </c>
      <c r="K6" s="61">
        <f>'Raw FS'!M34</f>
        <v>1068</v>
      </c>
      <c r="L6" s="61">
        <f>'Raw FS'!N34</f>
        <v>916</v>
      </c>
    </row>
    <row r="7" spans="2:12" x14ac:dyDescent="0.3">
      <c r="B7" t="s">
        <v>262</v>
      </c>
      <c r="G7" s="61">
        <f>'Raw FS'!I36</f>
        <v>109</v>
      </c>
      <c r="H7" s="61">
        <f>'Raw FS'!J36</f>
        <v>29</v>
      </c>
      <c r="I7" s="61">
        <f>'Raw FS'!K36</f>
        <v>167</v>
      </c>
      <c r="J7" s="61">
        <f>'Raw FS'!L36</f>
        <v>151</v>
      </c>
      <c r="K7" s="61">
        <f>'Raw FS'!M36</f>
        <v>324</v>
      </c>
      <c r="L7" s="61">
        <f>'Raw FS'!N36</f>
        <v>399</v>
      </c>
    </row>
    <row r="8" spans="2:12" x14ac:dyDescent="0.3">
      <c r="B8" t="s">
        <v>263</v>
      </c>
      <c r="G8" s="61">
        <f>'Raw FS'!I37</f>
        <v>1622</v>
      </c>
      <c r="H8" s="61">
        <f>'Raw FS'!J37</f>
        <v>2489</v>
      </c>
      <c r="I8" s="61">
        <f>'Raw FS'!K37</f>
        <v>2595</v>
      </c>
      <c r="J8" s="61">
        <f>'Raw FS'!L37</f>
        <v>3650</v>
      </c>
      <c r="K8" s="61">
        <f>'Raw FS'!M37</f>
        <v>3330</v>
      </c>
      <c r="L8" s="61">
        <f>'Raw FS'!N37</f>
        <v>4039</v>
      </c>
    </row>
    <row r="9" spans="2:12" x14ac:dyDescent="0.3">
      <c r="B9" s="62" t="s">
        <v>84</v>
      </c>
      <c r="C9" s="62"/>
      <c r="D9" s="62"/>
      <c r="E9" s="62"/>
      <c r="F9" s="62"/>
      <c r="G9" s="63">
        <f t="shared" ref="G9:L9" si="0">SUM(G5:G8)</f>
        <v>10505</v>
      </c>
      <c r="H9" s="63">
        <f t="shared" si="0"/>
        <v>16692</v>
      </c>
      <c r="I9" s="63">
        <f t="shared" si="0"/>
        <v>20020</v>
      </c>
      <c r="J9" s="63">
        <f t="shared" si="0"/>
        <v>23870</v>
      </c>
      <c r="K9" s="63">
        <f t="shared" si="0"/>
        <v>32906</v>
      </c>
      <c r="L9" s="63">
        <f t="shared" si="0"/>
        <v>48097</v>
      </c>
    </row>
    <row r="10" spans="2:12" x14ac:dyDescent="0.3">
      <c r="G10" s="61"/>
      <c r="H10" s="61"/>
      <c r="I10" s="61"/>
      <c r="J10" s="61"/>
      <c r="K10" s="61"/>
      <c r="L10" s="61"/>
    </row>
    <row r="11" spans="2:12" x14ac:dyDescent="0.3">
      <c r="B11" s="14" t="s">
        <v>264</v>
      </c>
      <c r="G11" s="61"/>
      <c r="H11" s="61"/>
      <c r="I11" s="61"/>
      <c r="J11" s="61"/>
      <c r="K11" s="61"/>
      <c r="L11" s="61"/>
    </row>
    <row r="12" spans="2:12" x14ac:dyDescent="0.3">
      <c r="B12" t="s">
        <v>265</v>
      </c>
      <c r="G12" s="61">
        <f>'Raw FS'!I13</f>
        <v>789</v>
      </c>
      <c r="H12" s="61">
        <f>'Raw FS'!J13</f>
        <v>1294</v>
      </c>
      <c r="I12" s="61">
        <f>'Raw FS'!K13</f>
        <v>1214</v>
      </c>
      <c r="J12" s="61">
        <f>'Raw FS'!L13</f>
        <v>1410</v>
      </c>
      <c r="K12" s="61">
        <f>'Raw FS'!M13</f>
        <v>1963</v>
      </c>
      <c r="L12" s="61">
        <f>'Raw FS'!N13</f>
        <v>2864</v>
      </c>
    </row>
    <row r="13" spans="2:12" x14ac:dyDescent="0.3">
      <c r="B13" t="s">
        <v>266</v>
      </c>
      <c r="G13" s="61">
        <f>'Raw FS'!I14</f>
        <v>479</v>
      </c>
      <c r="H13" s="61">
        <f>'Raw FS'!J14</f>
        <v>532</v>
      </c>
      <c r="I13" s="61">
        <f>'Raw FS'!K14</f>
        <v>718</v>
      </c>
      <c r="J13" s="61">
        <f>'Raw FS'!L14</f>
        <v>1085</v>
      </c>
      <c r="K13" s="61">
        <f>'Raw FS'!M14</f>
        <v>2140</v>
      </c>
      <c r="L13" s="61">
        <f>'Raw FS'!N14</f>
        <v>4745</v>
      </c>
    </row>
    <row r="14" spans="2:12" x14ac:dyDescent="0.3">
      <c r="B14" t="s">
        <v>267</v>
      </c>
      <c r="G14" s="61">
        <f>'Raw FS'!I15</f>
        <v>2036</v>
      </c>
      <c r="H14" s="61">
        <f>'Raw FS'!J15</f>
        <v>2754</v>
      </c>
      <c r="I14" s="61">
        <f>'Raw FS'!K15</f>
        <v>3817</v>
      </c>
      <c r="J14" s="61">
        <f>'Raw FS'!L15</f>
        <v>4131</v>
      </c>
      <c r="K14" s="61">
        <f>'Raw FS'!M15</f>
        <v>4141</v>
      </c>
      <c r="L14" s="61">
        <f>'Raw FS'!N15</f>
        <v>6628</v>
      </c>
    </row>
    <row r="15" spans="2:12" x14ac:dyDescent="0.3">
      <c r="B15" s="62" t="s">
        <v>268</v>
      </c>
      <c r="C15" s="62"/>
      <c r="D15" s="62"/>
      <c r="E15" s="62"/>
      <c r="F15" s="62"/>
      <c r="G15" s="63">
        <f t="shared" ref="G15:L15" si="1">SUM(G12:G14)</f>
        <v>3304</v>
      </c>
      <c r="H15" s="63">
        <f t="shared" si="1"/>
        <v>4580</v>
      </c>
      <c r="I15" s="63">
        <f t="shared" si="1"/>
        <v>5749</v>
      </c>
      <c r="J15" s="63">
        <f t="shared" si="1"/>
        <v>6626</v>
      </c>
      <c r="K15" s="63">
        <f t="shared" si="1"/>
        <v>8244</v>
      </c>
      <c r="L15" s="63">
        <f t="shared" si="1"/>
        <v>14237</v>
      </c>
    </row>
    <row r="16" spans="2:12" x14ac:dyDescent="0.3">
      <c r="G16" s="61"/>
      <c r="H16" s="61"/>
      <c r="I16" s="61"/>
      <c r="J16" s="61"/>
      <c r="K16" s="61"/>
      <c r="L16" s="61"/>
    </row>
    <row r="17" spans="2:12" ht="15" thickBot="1" x14ac:dyDescent="0.35">
      <c r="B17" s="64" t="s">
        <v>269</v>
      </c>
      <c r="C17" s="64"/>
      <c r="D17" s="64"/>
      <c r="E17" s="64"/>
      <c r="F17" s="64"/>
      <c r="G17" s="65">
        <f t="shared" ref="G17:L17" si="2">G9-G15</f>
        <v>7201</v>
      </c>
      <c r="H17" s="65">
        <f t="shared" si="2"/>
        <v>12112</v>
      </c>
      <c r="I17" s="65">
        <f t="shared" si="2"/>
        <v>14271</v>
      </c>
      <c r="J17" s="65">
        <f t="shared" si="2"/>
        <v>17244</v>
      </c>
      <c r="K17" s="65">
        <f t="shared" si="2"/>
        <v>24662</v>
      </c>
      <c r="L17" s="65">
        <f t="shared" si="2"/>
        <v>33860</v>
      </c>
    </row>
    <row r="18" spans="2:12" ht="15" thickTop="1" x14ac:dyDescent="0.3">
      <c r="G18" s="61"/>
      <c r="H18" s="61"/>
      <c r="I18" s="61"/>
      <c r="J18" s="61"/>
      <c r="K18" s="61"/>
      <c r="L18" s="61"/>
    </row>
    <row r="19" spans="2:12" x14ac:dyDescent="0.3">
      <c r="B19" s="14" t="s">
        <v>270</v>
      </c>
      <c r="G19" s="61"/>
      <c r="H19" s="61"/>
      <c r="I19" s="61"/>
      <c r="J19" s="61"/>
      <c r="K19" s="61"/>
      <c r="L19" s="61"/>
    </row>
    <row r="20" spans="2:12" ht="13.8" customHeight="1" x14ac:dyDescent="0.3">
      <c r="B20" t="s">
        <v>271</v>
      </c>
      <c r="G20" s="61">
        <f>'Raw FS'!I19</f>
        <v>108</v>
      </c>
      <c r="H20" s="61">
        <f>'Raw FS'!J19</f>
        <v>136</v>
      </c>
      <c r="I20" s="61">
        <f>'Raw FS'!K19</f>
        <v>144</v>
      </c>
      <c r="J20" s="61">
        <f>'Raw FS'!L19</f>
        <v>163</v>
      </c>
      <c r="K20" s="61">
        <f>'Raw FS'!M19</f>
        <v>163</v>
      </c>
      <c r="L20" s="61">
        <f>'Raw FS'!N19</f>
        <v>440</v>
      </c>
    </row>
    <row r="21" spans="2:12" hidden="1" x14ac:dyDescent="0.3">
      <c r="B21" t="s">
        <v>272</v>
      </c>
      <c r="G21" s="61">
        <f>'Raw FS'!I20</f>
        <v>1617</v>
      </c>
      <c r="H21" s="61">
        <f>'Raw FS'!J20</f>
        <v>1853</v>
      </c>
      <c r="I21" s="61">
        <f>'Raw FS'!K20</f>
        <v>2403</v>
      </c>
      <c r="J21" s="61">
        <f>'Raw FS'!L20</f>
        <v>3546</v>
      </c>
      <c r="K21" s="61">
        <f>'Raw FS'!M20</f>
        <v>4177</v>
      </c>
      <c r="L21" s="61">
        <f>'Raw FS'!N20</f>
        <v>5239</v>
      </c>
    </row>
    <row r="22" spans="2:12" hidden="1" x14ac:dyDescent="0.3">
      <c r="B22" t="s">
        <v>273</v>
      </c>
      <c r="G22" s="61">
        <f>'Raw FS'!I21</f>
        <v>739</v>
      </c>
      <c r="H22" s="61">
        <f>'Raw FS'!J21</f>
        <v>768</v>
      </c>
      <c r="I22" s="61">
        <f>'Raw FS'!K21</f>
        <v>838</v>
      </c>
      <c r="J22" s="61">
        <f>'Raw FS'!L21</f>
        <v>899</v>
      </c>
      <c r="K22" s="61">
        <f>'Raw FS'!M21</f>
        <v>1012</v>
      </c>
      <c r="L22" s="61">
        <f>'Raw FS'!N21</f>
        <v>1197</v>
      </c>
    </row>
    <row r="23" spans="2:12" hidden="1" x14ac:dyDescent="0.3">
      <c r="B23" t="s">
        <v>274</v>
      </c>
      <c r="G23" s="61">
        <f>'Raw FS'!I22</f>
        <v>76</v>
      </c>
      <c r="H23" s="61">
        <f>'Raw FS'!J22</f>
        <v>96</v>
      </c>
      <c r="I23" s="61">
        <f>'Raw FS'!K22</f>
        <v>130</v>
      </c>
      <c r="J23" s="61">
        <f>'Raw FS'!L22</f>
        <v>110</v>
      </c>
      <c r="K23" s="61">
        <f>'Raw FS'!M22</f>
        <v>127</v>
      </c>
      <c r="L23" s="61">
        <f>'Raw FS'!N22</f>
        <v>176</v>
      </c>
    </row>
    <row r="24" spans="2:12" hidden="1" x14ac:dyDescent="0.3">
      <c r="B24" t="s">
        <v>275</v>
      </c>
      <c r="G24" s="61">
        <f>'Raw FS'!I23</f>
        <v>142</v>
      </c>
      <c r="H24" s="61">
        <f>'Raw FS'!J23</f>
        <v>159</v>
      </c>
      <c r="I24" s="61">
        <f>'Raw FS'!K23</f>
        <v>204</v>
      </c>
      <c r="J24" s="61">
        <f>'Raw FS'!L23</f>
        <v>212</v>
      </c>
      <c r="K24" s="61">
        <f>'Raw FS'!M23</f>
        <v>228</v>
      </c>
      <c r="L24" s="61">
        <f>'Raw FS'!N23</f>
        <v>264</v>
      </c>
    </row>
    <row r="25" spans="2:12" x14ac:dyDescent="0.3">
      <c r="B25" t="s">
        <v>276</v>
      </c>
      <c r="G25" s="61">
        <f>'Raw FS'!I24</f>
        <v>309</v>
      </c>
      <c r="H25" s="61">
        <f>'Raw FS'!J24</f>
        <v>321</v>
      </c>
      <c r="I25" s="61">
        <f>'Raw FS'!K24</f>
        <v>376</v>
      </c>
      <c r="J25" s="61">
        <f>'Raw FS'!L24</f>
        <v>173</v>
      </c>
      <c r="K25" s="61">
        <f>'Raw FS'!M24</f>
        <v>193</v>
      </c>
      <c r="L25" s="61">
        <f>'Raw FS'!N24</f>
        <v>379</v>
      </c>
    </row>
    <row r="26" spans="2:12" x14ac:dyDescent="0.3">
      <c r="B26" t="s">
        <v>277</v>
      </c>
      <c r="G26" s="61">
        <f>'Raw FS'!I25</f>
        <v>30</v>
      </c>
      <c r="H26" s="61">
        <f>'Raw FS'!J25</f>
        <v>38</v>
      </c>
      <c r="I26" s="61">
        <f>'Raw FS'!K25</f>
        <v>40</v>
      </c>
      <c r="J26" s="61">
        <f>'Raw FS'!L25</f>
        <v>50</v>
      </c>
      <c r="K26" s="61">
        <f>'Raw FS'!M25</f>
        <v>57</v>
      </c>
      <c r="L26" s="61">
        <f>'Raw FS'!N25</f>
        <v>68</v>
      </c>
    </row>
    <row r="27" spans="2:12" x14ac:dyDescent="0.3">
      <c r="B27" t="s">
        <v>278</v>
      </c>
      <c r="G27" s="61">
        <f>'Raw FS'!I26</f>
        <v>320</v>
      </c>
      <c r="H27" s="61">
        <f>'Raw FS'!J26</f>
        <v>320</v>
      </c>
      <c r="I27" s="61">
        <f>'Raw FS'!K26</f>
        <v>320</v>
      </c>
      <c r="J27" s="61">
        <f>'Raw FS'!L26</f>
        <v>320</v>
      </c>
      <c r="K27" s="61">
        <f>'Raw FS'!M26</f>
        <v>320</v>
      </c>
      <c r="L27" s="61">
        <f>'Raw FS'!N26</f>
        <v>1782</v>
      </c>
    </row>
    <row r="28" spans="2:12" x14ac:dyDescent="0.3">
      <c r="B28" t="s">
        <v>279</v>
      </c>
      <c r="G28" s="61">
        <f>'Raw FS'!I27</f>
        <v>158</v>
      </c>
      <c r="H28" s="61">
        <f>'Raw FS'!J27</f>
        <v>157</v>
      </c>
      <c r="I28" s="61">
        <f>'Raw FS'!K27</f>
        <v>205</v>
      </c>
      <c r="J28" s="61">
        <f>'Raw FS'!L27</f>
        <v>305</v>
      </c>
      <c r="K28" s="61">
        <f>'Raw FS'!M27</f>
        <v>369</v>
      </c>
      <c r="L28" s="61">
        <f>'Raw FS'!N27</f>
        <v>540</v>
      </c>
    </row>
    <row r="29" spans="2:12" x14ac:dyDescent="0.3">
      <c r="B29" s="14" t="s">
        <v>280</v>
      </c>
      <c r="G29" s="61">
        <f t="shared" ref="G29:L29" si="3">SUM(G20:G28)</f>
        <v>3499</v>
      </c>
      <c r="H29" s="61">
        <f t="shared" si="3"/>
        <v>3848</v>
      </c>
      <c r="I29" s="61">
        <f t="shared" si="3"/>
        <v>4660</v>
      </c>
      <c r="J29" s="61">
        <f t="shared" si="3"/>
        <v>5778</v>
      </c>
      <c r="K29" s="61">
        <f t="shared" si="3"/>
        <v>6646</v>
      </c>
      <c r="L29" s="61">
        <f t="shared" si="3"/>
        <v>10085</v>
      </c>
    </row>
    <row r="30" spans="2:12" x14ac:dyDescent="0.3">
      <c r="B30" t="s">
        <v>281</v>
      </c>
      <c r="G30" s="61">
        <f>-'Raw FS'!I29</f>
        <v>-976</v>
      </c>
      <c r="H30" s="61">
        <f>-'Raw FS'!J29</f>
        <v>-1304</v>
      </c>
      <c r="I30" s="61">
        <f>-'Raw FS'!K29</f>
        <v>-1662</v>
      </c>
      <c r="J30" s="61">
        <f>-'Raw FS'!L29</f>
        <v>-2069</v>
      </c>
      <c r="K30" s="61">
        <f>-'Raw FS'!M29</f>
        <v>-2584</v>
      </c>
      <c r="L30" s="61">
        <f>-'Raw FS'!N29</f>
        <v>-3207</v>
      </c>
    </row>
    <row r="31" spans="2:12" x14ac:dyDescent="0.3">
      <c r="B31" s="62" t="s">
        <v>282</v>
      </c>
      <c r="C31" s="62"/>
      <c r="D31" s="62"/>
      <c r="E31" s="62"/>
      <c r="F31" s="62"/>
      <c r="G31" s="63">
        <f t="shared" ref="G31:L31" si="4">SUM(G29:G30)</f>
        <v>2523</v>
      </c>
      <c r="H31" s="63">
        <f t="shared" si="4"/>
        <v>2544</v>
      </c>
      <c r="I31" s="63">
        <f t="shared" si="4"/>
        <v>2998</v>
      </c>
      <c r="J31" s="63">
        <f t="shared" si="4"/>
        <v>3709</v>
      </c>
      <c r="K31" s="63">
        <f t="shared" si="4"/>
        <v>4062</v>
      </c>
      <c r="L31" s="63">
        <f t="shared" si="4"/>
        <v>6878</v>
      </c>
    </row>
    <row r="32" spans="2:12" x14ac:dyDescent="0.3">
      <c r="G32" s="61"/>
      <c r="H32" s="61"/>
      <c r="I32" s="61"/>
      <c r="J32" s="61"/>
      <c r="K32" s="61"/>
      <c r="L32" s="61"/>
    </row>
    <row r="33" spans="2:12" x14ac:dyDescent="0.3">
      <c r="B33" s="14" t="s">
        <v>283</v>
      </c>
      <c r="G33" s="66">
        <f>G31+G17</f>
        <v>9724</v>
      </c>
      <c r="H33" s="66">
        <f t="shared" ref="H33:L33" si="5">H31+H17</f>
        <v>14656</v>
      </c>
      <c r="I33" s="66">
        <f t="shared" si="5"/>
        <v>17269</v>
      </c>
      <c r="J33" s="66">
        <f t="shared" si="5"/>
        <v>20953</v>
      </c>
      <c r="K33" s="66">
        <f t="shared" si="5"/>
        <v>28724</v>
      </c>
      <c r="L33" s="66">
        <f t="shared" si="5"/>
        <v>40738</v>
      </c>
    </row>
    <row r="34" spans="2:12" x14ac:dyDescent="0.3">
      <c r="B34" s="14" t="s">
        <v>284</v>
      </c>
      <c r="G34" s="66">
        <f>HistoricalFS!G27</f>
        <v>1147</v>
      </c>
      <c r="H34" s="66">
        <f>HistoricalFS!H27</f>
        <v>2727</v>
      </c>
      <c r="I34" s="66">
        <f>HistoricalFS!I27</f>
        <v>4141</v>
      </c>
      <c r="J34" s="66">
        <f>HistoricalFS!J27</f>
        <v>4089</v>
      </c>
      <c r="K34" s="66">
        <f>HistoricalFS!K27</f>
        <v>4048</v>
      </c>
      <c r="L34" s="66">
        <f>HistoricalFS!L27</f>
        <v>6351</v>
      </c>
    </row>
    <row r="36" spans="2:12" ht="15" thickBot="1" x14ac:dyDescent="0.35">
      <c r="B36" s="64" t="s">
        <v>285</v>
      </c>
      <c r="C36" s="64"/>
      <c r="D36" s="64"/>
      <c r="E36" s="64"/>
      <c r="F36" s="64"/>
      <c r="G36" s="67">
        <f t="shared" ref="G36:L36" si="6">G34/G33</f>
        <v>0.11795557383792678</v>
      </c>
      <c r="H36" s="67">
        <f t="shared" si="6"/>
        <v>0.18606713973799127</v>
      </c>
      <c r="I36" s="67">
        <f t="shared" si="6"/>
        <v>0.23979385025189645</v>
      </c>
      <c r="J36" s="67">
        <f t="shared" si="6"/>
        <v>0.19515105235527133</v>
      </c>
      <c r="K36" s="67">
        <f t="shared" si="6"/>
        <v>0.14092744743071994</v>
      </c>
      <c r="L36" s="67">
        <f t="shared" si="6"/>
        <v>0.15589866954686044</v>
      </c>
    </row>
    <row r="37" spans="2:12" ht="15" thickTop="1" x14ac:dyDescent="0.3">
      <c r="K37" s="14" t="s">
        <v>341</v>
      </c>
      <c r="L37" s="56">
        <f>AVERAGE(H36:L36)</f>
        <v>0.18356763186454789</v>
      </c>
    </row>
    <row r="39" spans="2:12" x14ac:dyDescent="0.3">
      <c r="B39" s="60" t="s">
        <v>338</v>
      </c>
      <c r="C39" s="60"/>
      <c r="D39" s="60"/>
      <c r="E39" s="60"/>
      <c r="F39" s="60"/>
      <c r="G39" s="60">
        <v>43891</v>
      </c>
      <c r="H39" s="60">
        <v>44256</v>
      </c>
      <c r="I39" s="60">
        <v>44621</v>
      </c>
      <c r="J39" s="60">
        <v>44986</v>
      </c>
      <c r="K39" s="60">
        <v>45352</v>
      </c>
      <c r="L39" s="60">
        <v>45717</v>
      </c>
    </row>
    <row r="41" spans="2:12" x14ac:dyDescent="0.3">
      <c r="B41" t="s">
        <v>283</v>
      </c>
      <c r="G41" s="61">
        <f>G33</f>
        <v>9724</v>
      </c>
      <c r="H41" s="61">
        <f t="shared" ref="H41:L41" si="7">H33</f>
        <v>14656</v>
      </c>
      <c r="I41" s="61">
        <f t="shared" si="7"/>
        <v>17269</v>
      </c>
      <c r="J41" s="61">
        <f t="shared" si="7"/>
        <v>20953</v>
      </c>
      <c r="K41" s="61">
        <f t="shared" si="7"/>
        <v>28724</v>
      </c>
      <c r="L41" s="61">
        <f t="shared" si="7"/>
        <v>40738</v>
      </c>
    </row>
    <row r="42" spans="2:12" x14ac:dyDescent="0.3">
      <c r="B42" t="s">
        <v>331</v>
      </c>
      <c r="G42" s="61">
        <f>HistoricalFS!G6</f>
        <v>21644</v>
      </c>
      <c r="H42" s="61">
        <f>HistoricalFS!H6</f>
        <v>28799</v>
      </c>
      <c r="I42" s="61">
        <f>HistoricalFS!I6</f>
        <v>40575</v>
      </c>
      <c r="J42" s="61">
        <f>HistoricalFS!J6</f>
        <v>51084</v>
      </c>
      <c r="K42" s="61">
        <f>HistoricalFS!K6</f>
        <v>60456</v>
      </c>
      <c r="L42" s="61">
        <f>HistoricalFS!L6</f>
        <v>87584</v>
      </c>
    </row>
    <row r="43" spans="2:12" ht="15" thickBot="1" x14ac:dyDescent="0.35"/>
    <row r="44" spans="2:12" ht="15" thickBot="1" x14ac:dyDescent="0.35">
      <c r="B44" s="57" t="s">
        <v>330</v>
      </c>
      <c r="C44" s="57"/>
      <c r="D44" s="57"/>
      <c r="E44" s="57"/>
      <c r="F44" s="57"/>
      <c r="G44" s="115">
        <f>G42/G41</f>
        <v>2.2258329905388727</v>
      </c>
      <c r="H44" s="115">
        <f t="shared" ref="H44:L44" si="8">H42/H41</f>
        <v>1.964997270742358</v>
      </c>
      <c r="I44" s="115">
        <f t="shared" si="8"/>
        <v>2.3495859632868146</v>
      </c>
      <c r="J44" s="115">
        <f t="shared" si="8"/>
        <v>2.4380279673555099</v>
      </c>
      <c r="K44" s="115">
        <f t="shared" si="8"/>
        <v>2.1047207909761871</v>
      </c>
      <c r="L44" s="115">
        <f t="shared" si="8"/>
        <v>2.14993372281408</v>
      </c>
    </row>
    <row r="45" spans="2:12" ht="15" thickTop="1" x14ac:dyDescent="0.3">
      <c r="K45" s="14" t="s">
        <v>244</v>
      </c>
      <c r="L45" s="107">
        <f>AVERAGE(G44:L44)</f>
        <v>2.2055164509523038</v>
      </c>
    </row>
    <row r="47" spans="2:12" x14ac:dyDescent="0.3">
      <c r="B47" s="60" t="s">
        <v>342</v>
      </c>
      <c r="C47" s="60"/>
      <c r="D47" s="60"/>
      <c r="E47" s="60"/>
      <c r="F47" s="60"/>
      <c r="G47" s="60">
        <v>43891</v>
      </c>
      <c r="H47" s="60">
        <v>44256</v>
      </c>
      <c r="I47" s="60">
        <v>44621</v>
      </c>
      <c r="J47" s="60">
        <v>44986</v>
      </c>
      <c r="K47" s="60">
        <v>45352</v>
      </c>
      <c r="L47" s="60">
        <v>45717</v>
      </c>
    </row>
    <row r="49" spans="2:12" x14ac:dyDescent="0.3">
      <c r="B49" t="s">
        <v>344</v>
      </c>
      <c r="G49" s="61">
        <f>'Cash Flow Data'!H14-'Cash Flow Data'!H15</f>
        <v>-365</v>
      </c>
      <c r="H49" s="61">
        <f>'Cash Flow Data'!I14-'Cash Flow Data'!I15</f>
        <v>-153</v>
      </c>
      <c r="I49" s="61">
        <f>'Cash Flow Data'!J14-'Cash Flow Data'!J15</f>
        <v>-232</v>
      </c>
      <c r="J49" s="61">
        <f>'Cash Flow Data'!K14-'Cash Flow Data'!K15</f>
        <v>-444</v>
      </c>
      <c r="K49" s="61">
        <f>'Cash Flow Data'!L14-'Cash Flow Data'!L15</f>
        <v>-711</v>
      </c>
      <c r="L49" s="61">
        <f>'Cash Flow Data'!M14-'Cash Flow Data'!M15</f>
        <v>-518</v>
      </c>
    </row>
    <row r="50" spans="2:12" x14ac:dyDescent="0.3">
      <c r="B50" t="s">
        <v>343</v>
      </c>
      <c r="H50" s="98">
        <f>H17-G17</f>
        <v>4911</v>
      </c>
      <c r="I50" s="98">
        <f t="shared" ref="I50:L50" si="9">I17-H17</f>
        <v>2159</v>
      </c>
      <c r="J50" s="98">
        <f t="shared" si="9"/>
        <v>2973</v>
      </c>
      <c r="K50" s="98">
        <f t="shared" si="9"/>
        <v>7418</v>
      </c>
      <c r="L50" s="98">
        <f t="shared" si="9"/>
        <v>9198</v>
      </c>
    </row>
    <row r="52" spans="2:12" x14ac:dyDescent="0.3">
      <c r="B52" t="s">
        <v>284</v>
      </c>
      <c r="G52" s="61">
        <f>G34</f>
        <v>1147</v>
      </c>
      <c r="H52" s="61">
        <f t="shared" ref="H52:L52" si="10">H34</f>
        <v>2727</v>
      </c>
      <c r="I52" s="61">
        <f t="shared" si="10"/>
        <v>4141</v>
      </c>
      <c r="J52" s="61">
        <f t="shared" si="10"/>
        <v>4089</v>
      </c>
      <c r="K52" s="61">
        <f t="shared" si="10"/>
        <v>4048</v>
      </c>
      <c r="L52" s="61">
        <f t="shared" si="10"/>
        <v>6351</v>
      </c>
    </row>
    <row r="53" spans="2:12" x14ac:dyDescent="0.3">
      <c r="B53" t="s">
        <v>305</v>
      </c>
      <c r="G53" s="28">
        <v>0.25</v>
      </c>
      <c r="H53" s="28">
        <v>0.25</v>
      </c>
      <c r="I53" s="28">
        <v>0.25</v>
      </c>
      <c r="J53" s="28">
        <v>0.25</v>
      </c>
      <c r="K53" s="28">
        <v>0.25</v>
      </c>
      <c r="L53" s="28">
        <v>0.25</v>
      </c>
    </row>
    <row r="54" spans="2:12" x14ac:dyDescent="0.3">
      <c r="B54" t="s">
        <v>286</v>
      </c>
      <c r="G54">
        <f>G52*(1-G53)</f>
        <v>860.25</v>
      </c>
      <c r="H54">
        <f t="shared" ref="H54:L54" si="11">H52*(1-H53)</f>
        <v>2045.25</v>
      </c>
      <c r="I54">
        <f t="shared" si="11"/>
        <v>3105.75</v>
      </c>
      <c r="J54">
        <f t="shared" si="11"/>
        <v>3066.75</v>
      </c>
      <c r="K54">
        <f t="shared" si="11"/>
        <v>3036</v>
      </c>
      <c r="L54">
        <f t="shared" si="11"/>
        <v>4763.25</v>
      </c>
    </row>
    <row r="56" spans="2:12" x14ac:dyDescent="0.3">
      <c r="B56" t="s">
        <v>333</v>
      </c>
      <c r="G56" s="61"/>
      <c r="H56" s="61">
        <f t="shared" ref="H56:L56" si="12">SUM(H49:H50)</f>
        <v>4758</v>
      </c>
      <c r="I56" s="61">
        <f t="shared" si="12"/>
        <v>1927</v>
      </c>
      <c r="J56" s="61">
        <f t="shared" si="12"/>
        <v>2529</v>
      </c>
      <c r="K56" s="61">
        <f t="shared" si="12"/>
        <v>6707</v>
      </c>
      <c r="L56" s="61">
        <f t="shared" si="12"/>
        <v>8680</v>
      </c>
    </row>
    <row r="57" spans="2:12" ht="15" thickBot="1" x14ac:dyDescent="0.35"/>
    <row r="58" spans="2:12" ht="15" thickBot="1" x14ac:dyDescent="0.35">
      <c r="B58" s="57" t="s">
        <v>345</v>
      </c>
      <c r="C58" s="57"/>
      <c r="D58" s="57"/>
      <c r="E58" s="57"/>
      <c r="F58" s="57"/>
      <c r="G58" s="57"/>
      <c r="H58" s="58">
        <f>H56/H54</f>
        <v>2.3263659699303263</v>
      </c>
      <c r="I58" s="58">
        <f t="shared" ref="I58:L58" si="13">I56/I54</f>
        <v>0.62046204620462042</v>
      </c>
      <c r="J58" s="58">
        <f t="shared" si="13"/>
        <v>0.82465150403521648</v>
      </c>
      <c r="K58" s="58">
        <f t="shared" si="13"/>
        <v>2.2091567852437417</v>
      </c>
      <c r="L58" s="58">
        <f t="shared" si="13"/>
        <v>1.8222852044297486</v>
      </c>
    </row>
    <row r="59" spans="2:12" ht="15" thickTop="1" x14ac:dyDescent="0.3">
      <c r="K59" s="14" t="s">
        <v>244</v>
      </c>
      <c r="L59" s="56">
        <f>AVERAGE(I58:L58)</f>
        <v>1.3691388849783319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81A89-9391-46DE-872C-8170A2E2C5D9}">
  <dimension ref="B2:R54"/>
  <sheetViews>
    <sheetView zoomScale="87" zoomScaleNormal="87" workbookViewId="0">
      <selection activeCell="I11" sqref="I11"/>
    </sheetView>
  </sheetViews>
  <sheetFormatPr defaultRowHeight="14.4" x14ac:dyDescent="0.3"/>
  <cols>
    <col min="1" max="1" width="1.88671875" customWidth="1"/>
    <col min="2" max="2" width="19.5546875" customWidth="1"/>
    <col min="3" max="8" width="13.33203125" bestFit="1" customWidth="1"/>
    <col min="9" max="9" width="10.88671875" bestFit="1" customWidth="1"/>
    <col min="10" max="10" width="14" customWidth="1"/>
    <col min="11" max="11" width="11.6640625" customWidth="1"/>
    <col min="12" max="12" width="13.5546875" customWidth="1"/>
    <col min="13" max="13" width="10.88671875" bestFit="1" customWidth="1"/>
    <col min="14" max="14" width="11.5546875" customWidth="1"/>
    <col min="15" max="15" width="12.33203125" customWidth="1"/>
    <col min="16" max="16" width="10.88671875" bestFit="1" customWidth="1"/>
    <col min="17" max="17" width="11.77734375" customWidth="1"/>
    <col min="18" max="18" width="10.88671875" customWidth="1"/>
  </cols>
  <sheetData>
    <row r="2" spans="2:18" x14ac:dyDescent="0.3">
      <c r="B2" s="79" t="s">
        <v>56</v>
      </c>
      <c r="C2" s="81">
        <v>44286</v>
      </c>
      <c r="D2" s="81">
        <v>44651</v>
      </c>
      <c r="E2" s="81">
        <v>45016</v>
      </c>
      <c r="F2" s="81">
        <v>45382</v>
      </c>
      <c r="G2" s="81">
        <v>45747</v>
      </c>
      <c r="H2" s="81">
        <v>46112</v>
      </c>
      <c r="I2" s="110">
        <f>H2+365</f>
        <v>46477</v>
      </c>
      <c r="J2" s="110">
        <f t="shared" ref="J2:L2" si="0">I2+365</f>
        <v>46842</v>
      </c>
      <c r="K2" s="110">
        <f t="shared" si="0"/>
        <v>47207</v>
      </c>
      <c r="L2" s="110">
        <f t="shared" si="0"/>
        <v>47572</v>
      </c>
      <c r="M2" s="110">
        <f>L2+365</f>
        <v>47937</v>
      </c>
      <c r="N2" s="110">
        <f t="shared" ref="N2:R2" si="1">M2+365</f>
        <v>48302</v>
      </c>
      <c r="O2" s="110">
        <f t="shared" si="1"/>
        <v>48667</v>
      </c>
      <c r="P2" s="110">
        <f t="shared" si="1"/>
        <v>49032</v>
      </c>
      <c r="Q2" s="110">
        <f t="shared" si="1"/>
        <v>49397</v>
      </c>
      <c r="R2" s="110">
        <f t="shared" si="1"/>
        <v>49762</v>
      </c>
    </row>
    <row r="4" spans="2:18" x14ac:dyDescent="0.3">
      <c r="B4" t="s">
        <v>12</v>
      </c>
      <c r="C4" s="105">
        <f>HistoricalFS!G6</f>
        <v>21644</v>
      </c>
      <c r="D4" s="105">
        <f>HistoricalFS!H6</f>
        <v>28799</v>
      </c>
      <c r="E4" s="105">
        <f>HistoricalFS!I6</f>
        <v>40575</v>
      </c>
      <c r="F4" s="105">
        <f>HistoricalFS!J6</f>
        <v>51084</v>
      </c>
      <c r="G4" s="105">
        <f>HistoricalFS!K6</f>
        <v>60456</v>
      </c>
      <c r="H4" s="105">
        <f>HistoricalFS!L6</f>
        <v>87584</v>
      </c>
      <c r="I4" s="105">
        <f>H4*(1+I5)</f>
        <v>116148.06961667722</v>
      </c>
      <c r="J4" s="105">
        <f t="shared" ref="J4:R4" si="2">I4*(1+J5)</f>
        <v>147208.6513520891</v>
      </c>
      <c r="K4" s="105">
        <f t="shared" ca="1" si="2"/>
        <v>177074.01975006238</v>
      </c>
      <c r="L4" s="105">
        <f t="shared" ca="1" si="2"/>
        <v>203635.12271257173</v>
      </c>
      <c r="M4" s="105">
        <f t="shared" ca="1" si="2"/>
        <v>230616.77647198748</v>
      </c>
      <c r="N4" s="105">
        <f t="shared" ca="1" si="2"/>
        <v>258146.654163331</v>
      </c>
      <c r="O4" s="105">
        <f t="shared" ca="1" si="2"/>
        <v>278798.38649639749</v>
      </c>
      <c r="P4" s="105">
        <f t="shared" ca="1" si="2"/>
        <v>297384.94559615734</v>
      </c>
      <c r="Q4" s="105">
        <f t="shared" ca="1" si="2"/>
        <v>313245.47602795239</v>
      </c>
      <c r="R4" s="105">
        <f t="shared" ca="1" si="2"/>
        <v>325775.29506907047</v>
      </c>
    </row>
    <row r="5" spans="2:18" x14ac:dyDescent="0.3">
      <c r="B5" t="s">
        <v>327</v>
      </c>
      <c r="C5" s="103"/>
      <c r="D5" s="103">
        <f t="shared" ref="D5:H5" si="3">(D4-C4)/C4</f>
        <v>0.33057660321567178</v>
      </c>
      <c r="E5" s="103">
        <f t="shared" si="3"/>
        <v>0.40890308691274002</v>
      </c>
      <c r="F5" s="103">
        <f t="shared" si="3"/>
        <v>0.2590018484288355</v>
      </c>
      <c r="G5" s="103">
        <f t="shared" si="3"/>
        <v>0.1834625322997416</v>
      </c>
      <c r="H5" s="103">
        <f t="shared" si="3"/>
        <v>0.44872303824268889</v>
      </c>
      <c r="I5" s="38">
        <f>H6</f>
        <v>0.32613342181993554</v>
      </c>
      <c r="J5" s="38">
        <f>I5+(L5-$I$5)/3</f>
        <v>0.26742228121329037</v>
      </c>
      <c r="K5" s="38">
        <f ca="1">J5+(M5-$I$5)/3</f>
        <v>0.20287780727331184</v>
      </c>
      <c r="L5" s="106">
        <f>15%</f>
        <v>0.15</v>
      </c>
      <c r="M5" s="38">
        <f ca="1">L5+($O$5-M5)/3</f>
        <v>0.13250000000000001</v>
      </c>
      <c r="N5" s="38">
        <f ca="1">M5+($O$5-N5)/3</f>
        <v>0.11937500000000001</v>
      </c>
      <c r="O5" s="106">
        <v>0.08</v>
      </c>
      <c r="P5" s="38">
        <f>O5+($R$5-$O$5)/3</f>
        <v>6.6666666666666666E-2</v>
      </c>
      <c r="Q5" s="38">
        <f>P5+($R$5-$O$5)/3</f>
        <v>5.333333333333333E-2</v>
      </c>
      <c r="R5" s="104">
        <v>0.04</v>
      </c>
    </row>
    <row r="6" spans="2:18" x14ac:dyDescent="0.3">
      <c r="G6" s="14" t="s">
        <v>244</v>
      </c>
      <c r="H6" s="56">
        <f>AVERAGE(D5:H5)</f>
        <v>0.32613342181993554</v>
      </c>
    </row>
    <row r="7" spans="2:18" x14ac:dyDescent="0.3">
      <c r="B7" t="s">
        <v>328</v>
      </c>
      <c r="C7" s="105">
        <f>HistoricalFS!G27</f>
        <v>1147</v>
      </c>
      <c r="D7" s="105">
        <f>HistoricalFS!H27</f>
        <v>2727</v>
      </c>
      <c r="E7" s="105">
        <f>HistoricalFS!I27</f>
        <v>4141</v>
      </c>
      <c r="F7" s="105">
        <f>HistoricalFS!J27</f>
        <v>4089</v>
      </c>
      <c r="G7" s="105">
        <f>HistoricalFS!K27</f>
        <v>4048</v>
      </c>
      <c r="H7" s="105">
        <f>HistoricalFS!L27</f>
        <v>6351</v>
      </c>
      <c r="I7" s="105">
        <f>I4*I8</f>
        <v>9083.9070528558514</v>
      </c>
      <c r="J7" s="105">
        <f t="shared" ref="J7:R7" si="4">J4*J8</f>
        <v>11833.918092854943</v>
      </c>
      <c r="K7" s="105">
        <f t="shared" ca="1" si="4"/>
        <v>14620.606838987649</v>
      </c>
      <c r="L7" s="105">
        <f t="shared" ca="1" si="4"/>
        <v>17257.424665638468</v>
      </c>
      <c r="M7" s="105">
        <f t="shared" ca="1" si="4"/>
        <v>20046.55403574459</v>
      </c>
      <c r="N7" s="105">
        <f t="shared" ca="1" si="4"/>
        <v>23002.120422523516</v>
      </c>
      <c r="O7" s="105">
        <f t="shared" ca="1" si="4"/>
        <v>25449.799774988267</v>
      </c>
      <c r="P7" s="105">
        <f t="shared" ca="1" si="4"/>
        <v>27794.463459894545</v>
      </c>
      <c r="Q7" s="105">
        <f t="shared" ca="1" si="4"/>
        <v>29959.40576387991</v>
      </c>
      <c r="R7" s="105">
        <f t="shared" ca="1" si="4"/>
        <v>32577.529506907049</v>
      </c>
    </row>
    <row r="8" spans="2:18" x14ac:dyDescent="0.3">
      <c r="B8" t="s">
        <v>329</v>
      </c>
      <c r="C8" s="16">
        <f t="shared" ref="C8:H8" si="5">C7/C4</f>
        <v>5.2993901312141933E-2</v>
      </c>
      <c r="D8" s="16">
        <f t="shared" si="5"/>
        <v>9.4690787874578977E-2</v>
      </c>
      <c r="E8" s="16">
        <f t="shared" si="5"/>
        <v>0.10205791743684535</v>
      </c>
      <c r="F8" s="16">
        <f t="shared" si="5"/>
        <v>8.0044632370213767E-2</v>
      </c>
      <c r="G8" s="16">
        <f t="shared" si="5"/>
        <v>6.6957787481804948E-2</v>
      </c>
      <c r="H8" s="16">
        <f t="shared" si="5"/>
        <v>7.2513244428206058E-2</v>
      </c>
      <c r="I8" s="38">
        <f>H9</f>
        <v>7.8209711817298508E-2</v>
      </c>
      <c r="J8" s="38">
        <f>I8+($R$8-$I$8)/10</f>
        <v>8.0388740635568653E-2</v>
      </c>
      <c r="K8" s="38">
        <f t="shared" ref="K8:Q8" si="6">J8+($R$8-$I$8)/10</f>
        <v>8.2567769453838799E-2</v>
      </c>
      <c r="L8" s="38">
        <f t="shared" si="6"/>
        <v>8.4746798272108945E-2</v>
      </c>
      <c r="M8" s="38">
        <f t="shared" si="6"/>
        <v>8.692582709037909E-2</v>
      </c>
      <c r="N8" s="38">
        <f t="shared" si="6"/>
        <v>8.9104855908649236E-2</v>
      </c>
      <c r="O8" s="38">
        <f t="shared" si="6"/>
        <v>9.1283884726919381E-2</v>
      </c>
      <c r="P8" s="38">
        <f t="shared" si="6"/>
        <v>9.3462913545189527E-2</v>
      </c>
      <c r="Q8" s="38">
        <f t="shared" si="6"/>
        <v>9.5641942363459673E-2</v>
      </c>
      <c r="R8" s="106">
        <v>0.1</v>
      </c>
    </row>
    <row r="9" spans="2:18" x14ac:dyDescent="0.3">
      <c r="G9" s="14" t="s">
        <v>244</v>
      </c>
      <c r="H9" s="56">
        <f>AVERAGE(C8:H8)</f>
        <v>7.8209711817298508E-2</v>
      </c>
      <c r="K9" s="17"/>
    </row>
    <row r="10" spans="2:18" x14ac:dyDescent="0.3">
      <c r="B10" s="111" t="s">
        <v>332</v>
      </c>
      <c r="C10" s="111"/>
      <c r="D10" s="113">
        <f t="shared" ref="D10:R10" si="7">D4-C4</f>
        <v>7155</v>
      </c>
      <c r="E10" s="113">
        <f t="shared" si="7"/>
        <v>11776</v>
      </c>
      <c r="F10" s="113">
        <f t="shared" si="7"/>
        <v>10509</v>
      </c>
      <c r="G10" s="113">
        <f t="shared" si="7"/>
        <v>9372</v>
      </c>
      <c r="H10" s="113">
        <f t="shared" si="7"/>
        <v>27128</v>
      </c>
      <c r="I10" s="113">
        <f t="shared" si="7"/>
        <v>28564.069616677225</v>
      </c>
      <c r="J10" s="113">
        <f t="shared" si="7"/>
        <v>31060.581735411877</v>
      </c>
      <c r="K10" s="113">
        <f t="shared" ca="1" si="7"/>
        <v>29865.368397973274</v>
      </c>
      <c r="L10" s="113">
        <f t="shared" ca="1" si="7"/>
        <v>26561.102962509351</v>
      </c>
      <c r="M10" s="113">
        <f t="shared" ca="1" si="7"/>
        <v>26981.653759415756</v>
      </c>
      <c r="N10" s="113">
        <f t="shared" ca="1" si="7"/>
        <v>27529.877691343514</v>
      </c>
      <c r="O10" s="113">
        <f t="shared" ca="1" si="7"/>
        <v>20651.732333066495</v>
      </c>
      <c r="P10" s="113">
        <f t="shared" ca="1" si="7"/>
        <v>18586.559099759848</v>
      </c>
      <c r="Q10" s="113">
        <f t="shared" ca="1" si="7"/>
        <v>15860.53043179505</v>
      </c>
      <c r="R10" s="113">
        <f t="shared" ca="1" si="7"/>
        <v>12529.819041118084</v>
      </c>
    </row>
    <row r="11" spans="2:18" ht="15" thickBot="1" x14ac:dyDescent="0.35">
      <c r="B11" s="112" t="s">
        <v>333</v>
      </c>
      <c r="C11" s="112"/>
      <c r="D11" s="114">
        <f>D10/'Sales to Capital Ratio'!$L$45</f>
        <v>3244.1381232548028</v>
      </c>
      <c r="E11" s="114">
        <f>E10/'Sales to Capital Ratio'!$L$45</f>
        <v>5339.3389992241173</v>
      </c>
      <c r="F11" s="114">
        <f>F10/'Sales to Capital Ratio'!$L$45</f>
        <v>4764.8703755813731</v>
      </c>
      <c r="G11" s="114">
        <f>G10/'Sales to Capital Ratio'!$L$45</f>
        <v>4249.3448624939219</v>
      </c>
      <c r="H11" s="114">
        <f>H10/'Sales to Capital Ratio'!$L$45</f>
        <v>12300.066947261535</v>
      </c>
      <c r="I11" s="114">
        <f>I10/'Sales to Capital Ratio'!$L$45</f>
        <v>12951.193179422333</v>
      </c>
      <c r="J11" s="114">
        <f>J10/'Sales to Capital Ratio'!$L$45</f>
        <v>14083.13310109315</v>
      </c>
      <c r="K11" s="114">
        <f ca="1">K10/'Sales to Capital Ratio'!$L$45</f>
        <v>13541.213163510038</v>
      </c>
      <c r="L11" s="114">
        <f ca="1">L10/'Sales to Capital Ratio'!$L$45</f>
        <v>12043.030987613231</v>
      </c>
      <c r="M11" s="114">
        <f ca="1">M10/'Sales to Capital Ratio'!$L$45</f>
        <v>12233.712311583777</v>
      </c>
      <c r="N11" s="114">
        <f ca="1">N10/'Sales to Capital Ratio'!$L$45</f>
        <v>12482.281725650511</v>
      </c>
      <c r="O11" s="114">
        <f ca="1">O10/'Sales to Capital Ratio'!$L$45</f>
        <v>9363.6718620481988</v>
      </c>
      <c r="P11" s="114">
        <f ca="1">P10/'Sales to Capital Ratio'!$L$45</f>
        <v>8427.3046758433811</v>
      </c>
      <c r="Q11" s="114">
        <f ca="1">Q10/'Sales to Capital Ratio'!$L$45</f>
        <v>7191.2999900530094</v>
      </c>
      <c r="R11" s="114">
        <f ca="1">R10/'Sales to Capital Ratio'!$L$45</f>
        <v>5681.1269921418743</v>
      </c>
    </row>
    <row r="12" spans="2:18" x14ac:dyDescent="0.3">
      <c r="K12" s="17"/>
    </row>
    <row r="13" spans="2:18" x14ac:dyDescent="0.3">
      <c r="D13" s="17"/>
    </row>
    <row r="14" spans="2:18" x14ac:dyDescent="0.3">
      <c r="D14" s="17"/>
    </row>
    <row r="17" spans="2:11" x14ac:dyDescent="0.3">
      <c r="K17" s="17"/>
    </row>
    <row r="20" spans="2:11" x14ac:dyDescent="0.3">
      <c r="B20" t="s">
        <v>340</v>
      </c>
      <c r="F20" s="17"/>
    </row>
    <row r="22" spans="2:11" x14ac:dyDescent="0.3">
      <c r="B22" t="s">
        <v>335</v>
      </c>
    </row>
    <row r="23" spans="2:11" ht="14.4" customHeight="1" x14ac:dyDescent="0.3">
      <c r="B23" t="s">
        <v>337</v>
      </c>
    </row>
    <row r="24" spans="2:11" x14ac:dyDescent="0.3">
      <c r="B24" t="s">
        <v>336</v>
      </c>
    </row>
    <row r="25" spans="2:11" x14ac:dyDescent="0.3">
      <c r="B25" s="14"/>
    </row>
    <row r="27" spans="2:11" x14ac:dyDescent="0.3">
      <c r="B27" s="109"/>
      <c r="C27" s="109"/>
      <c r="D27" s="109"/>
      <c r="E27" s="109"/>
      <c r="F27" s="109"/>
    </row>
    <row r="28" spans="2:11" x14ac:dyDescent="0.3">
      <c r="B28" s="109"/>
      <c r="C28" s="109"/>
      <c r="D28" s="109"/>
      <c r="E28" s="109"/>
      <c r="F28" s="109"/>
    </row>
    <row r="29" spans="2:11" x14ac:dyDescent="0.3">
      <c r="B29" s="109"/>
      <c r="C29" s="109"/>
      <c r="D29" s="109"/>
      <c r="E29" s="109"/>
      <c r="F29" s="109"/>
    </row>
    <row r="30" spans="2:11" x14ac:dyDescent="0.3">
      <c r="B30" s="109"/>
      <c r="C30" s="109"/>
      <c r="D30" s="109"/>
      <c r="E30" s="109"/>
      <c r="F30" s="109"/>
    </row>
    <row r="31" spans="2:11" x14ac:dyDescent="0.3">
      <c r="B31" s="109"/>
      <c r="C31" s="109"/>
      <c r="D31" s="109"/>
      <c r="E31" s="109"/>
      <c r="F31" s="109"/>
    </row>
    <row r="32" spans="2:11" x14ac:dyDescent="0.3">
      <c r="B32" s="109"/>
      <c r="C32" s="109"/>
      <c r="D32" s="109"/>
      <c r="E32" s="109"/>
      <c r="F32" s="109"/>
    </row>
    <row r="33" spans="2:6" x14ac:dyDescent="0.3">
      <c r="B33" s="109"/>
      <c r="C33" s="109"/>
      <c r="D33" s="109"/>
      <c r="E33" s="109"/>
      <c r="F33" s="109"/>
    </row>
    <row r="34" spans="2:6" x14ac:dyDescent="0.3">
      <c r="B34" s="109"/>
      <c r="C34" s="109"/>
      <c r="D34" s="109"/>
      <c r="E34" s="109"/>
      <c r="F34" s="109"/>
    </row>
    <row r="35" spans="2:6" x14ac:dyDescent="0.3">
      <c r="B35" s="109"/>
      <c r="C35" s="109"/>
      <c r="D35" s="109"/>
      <c r="E35" s="109"/>
      <c r="F35" s="109"/>
    </row>
    <row r="36" spans="2:6" x14ac:dyDescent="0.3">
      <c r="B36" s="109"/>
      <c r="C36" s="109"/>
      <c r="D36" s="109"/>
      <c r="E36" s="109"/>
      <c r="F36" s="109"/>
    </row>
    <row r="37" spans="2:6" x14ac:dyDescent="0.3">
      <c r="B37" s="109"/>
      <c r="C37" s="109"/>
      <c r="D37" s="109"/>
      <c r="E37" s="109"/>
      <c r="F37" s="109"/>
    </row>
    <row r="39" spans="2:6" ht="14.4" customHeight="1" x14ac:dyDescent="0.3"/>
    <row r="43" spans="2:6" x14ac:dyDescent="0.3">
      <c r="B43" s="109"/>
      <c r="C43" s="109"/>
      <c r="D43" s="109"/>
      <c r="E43" s="109"/>
      <c r="F43" s="109"/>
    </row>
    <row r="44" spans="2:6" x14ac:dyDescent="0.3">
      <c r="B44" s="109"/>
      <c r="C44" s="109"/>
      <c r="D44" s="109"/>
      <c r="E44" s="109"/>
      <c r="F44" s="109"/>
    </row>
    <row r="45" spans="2:6" x14ac:dyDescent="0.3">
      <c r="B45" s="109"/>
      <c r="C45" s="109"/>
      <c r="D45" s="109"/>
      <c r="E45" s="109"/>
      <c r="F45" s="109"/>
    </row>
    <row r="46" spans="2:6" x14ac:dyDescent="0.3">
      <c r="B46" s="109"/>
      <c r="C46" s="109"/>
      <c r="D46" s="109"/>
      <c r="E46" s="109"/>
      <c r="F46" s="109"/>
    </row>
    <row r="47" spans="2:6" x14ac:dyDescent="0.3">
      <c r="B47" s="109"/>
      <c r="C47" s="109"/>
      <c r="D47" s="109"/>
      <c r="E47" s="109"/>
      <c r="F47" s="109"/>
    </row>
    <row r="48" spans="2:6" x14ac:dyDescent="0.3">
      <c r="B48" s="109"/>
      <c r="C48" s="109"/>
      <c r="D48" s="109"/>
      <c r="E48" s="109"/>
      <c r="F48" s="109"/>
    </row>
    <row r="49" spans="2:8" x14ac:dyDescent="0.3">
      <c r="B49" s="109"/>
      <c r="C49" s="109"/>
      <c r="D49" s="109"/>
      <c r="E49" s="109"/>
      <c r="F49" s="109"/>
    </row>
    <row r="50" spans="2:8" x14ac:dyDescent="0.3">
      <c r="B50" s="109"/>
      <c r="C50" s="109"/>
      <c r="D50" s="109"/>
      <c r="E50" s="109"/>
      <c r="F50" s="109"/>
    </row>
    <row r="51" spans="2:8" x14ac:dyDescent="0.3">
      <c r="C51" s="109"/>
      <c r="D51" s="109"/>
      <c r="E51" s="109"/>
      <c r="F51" s="109"/>
      <c r="G51" s="109"/>
      <c r="H51" s="109"/>
    </row>
    <row r="52" spans="2:8" x14ac:dyDescent="0.3">
      <c r="C52" s="109"/>
      <c r="D52" s="109"/>
      <c r="E52" s="109"/>
      <c r="F52" s="109"/>
      <c r="G52" s="109"/>
      <c r="H52" s="109"/>
    </row>
    <row r="53" spans="2:8" x14ac:dyDescent="0.3">
      <c r="C53" s="109"/>
      <c r="D53" s="109"/>
      <c r="E53" s="109"/>
      <c r="F53" s="109"/>
      <c r="G53" s="109"/>
      <c r="H53" s="109"/>
    </row>
    <row r="54" spans="2:8" x14ac:dyDescent="0.3">
      <c r="C54" s="109"/>
      <c r="D54" s="109"/>
      <c r="E54" s="109"/>
      <c r="F54" s="109"/>
      <c r="G54" s="109"/>
      <c r="H54" s="10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ADF09-3D0C-4F76-87F4-E19280934338}">
  <dimension ref="B2:O41"/>
  <sheetViews>
    <sheetView zoomScale="90" workbookViewId="0">
      <selection activeCell="G31" sqref="G31"/>
    </sheetView>
  </sheetViews>
  <sheetFormatPr defaultRowHeight="14.4" x14ac:dyDescent="0.3"/>
  <cols>
    <col min="1" max="1" width="1.88671875" customWidth="1"/>
    <col min="2" max="2" width="25.77734375" bestFit="1" customWidth="1"/>
    <col min="3" max="3" width="20.77734375" customWidth="1"/>
    <col min="4" max="4" width="14.77734375" customWidth="1"/>
    <col min="5" max="5" width="20.33203125" customWidth="1"/>
    <col min="6" max="10" width="12.6640625" bestFit="1" customWidth="1"/>
    <col min="11" max="11" width="14.44140625" customWidth="1"/>
    <col min="12" max="12" width="13.6640625" customWidth="1"/>
    <col min="13" max="13" width="12.88671875" customWidth="1"/>
    <col min="14" max="14" width="11.5546875" customWidth="1"/>
    <col min="15" max="15" width="13.77734375" customWidth="1"/>
  </cols>
  <sheetData>
    <row r="2" spans="2:15" x14ac:dyDescent="0.3">
      <c r="B2" s="79" t="s">
        <v>303</v>
      </c>
      <c r="C2" s="79"/>
      <c r="D2" s="79"/>
      <c r="E2" s="81">
        <v>46082</v>
      </c>
      <c r="F2" s="82">
        <f>E2+366</f>
        <v>46448</v>
      </c>
      <c r="G2" s="82">
        <f t="shared" ref="G2:J2" si="0">F2+366</f>
        <v>46814</v>
      </c>
      <c r="H2" s="82">
        <f t="shared" si="0"/>
        <v>47180</v>
      </c>
      <c r="I2" s="82">
        <f t="shared" si="0"/>
        <v>47546</v>
      </c>
      <c r="J2" s="82">
        <f t="shared" si="0"/>
        <v>47912</v>
      </c>
      <c r="K2" s="82">
        <f t="shared" ref="K2" si="1">J2+366</f>
        <v>48278</v>
      </c>
      <c r="L2" s="82">
        <f t="shared" ref="L2" si="2">K2+366</f>
        <v>48644</v>
      </c>
      <c r="M2" s="82">
        <f t="shared" ref="M2" si="3">L2+366</f>
        <v>49010</v>
      </c>
      <c r="N2" s="82">
        <f t="shared" ref="N2" si="4">M2+366</f>
        <v>49376</v>
      </c>
      <c r="O2" s="82">
        <f t="shared" ref="O2" si="5">N2+366</f>
        <v>49742</v>
      </c>
    </row>
    <row r="3" spans="2:15" x14ac:dyDescent="0.3">
      <c r="B3" s="83"/>
      <c r="C3" s="83"/>
      <c r="D3" s="83"/>
      <c r="E3" s="84"/>
      <c r="F3" s="85"/>
      <c r="G3" s="85"/>
      <c r="H3" s="85"/>
      <c r="I3" s="85"/>
      <c r="J3" s="85"/>
    </row>
    <row r="4" spans="2:15" x14ac:dyDescent="0.3">
      <c r="B4" t="s">
        <v>304</v>
      </c>
      <c r="E4" s="86">
        <f>'Int Growth Rate'!H7</f>
        <v>6351</v>
      </c>
      <c r="F4" s="86">
        <f>'Int Growth Rate'!I7</f>
        <v>9083.9070528558514</v>
      </c>
      <c r="G4" s="86">
        <f>'Int Growth Rate'!J7</f>
        <v>11833.918092854943</v>
      </c>
      <c r="H4" s="86">
        <f ca="1">'Int Growth Rate'!K7</f>
        <v>14620.606838987649</v>
      </c>
      <c r="I4" s="86">
        <f ca="1">'Int Growth Rate'!L7</f>
        <v>17257.424665638468</v>
      </c>
      <c r="J4" s="86">
        <f ca="1">'Int Growth Rate'!M7</f>
        <v>20046.55403574459</v>
      </c>
      <c r="K4" s="86">
        <f ca="1">'Int Growth Rate'!N7</f>
        <v>23002.120422523516</v>
      </c>
      <c r="L4" s="86">
        <f ca="1">'Int Growth Rate'!O7</f>
        <v>25449.799774988267</v>
      </c>
      <c r="M4" s="86">
        <f ca="1">'Int Growth Rate'!P7</f>
        <v>27794.463459894545</v>
      </c>
      <c r="N4" s="86">
        <f ca="1">'Int Growth Rate'!Q7</f>
        <v>29959.40576387991</v>
      </c>
      <c r="O4" s="86">
        <f ca="1">'Int Growth Rate'!R7</f>
        <v>32577.529506907049</v>
      </c>
    </row>
    <row r="5" spans="2:15" x14ac:dyDescent="0.3">
      <c r="B5" t="s">
        <v>305</v>
      </c>
      <c r="E5" s="87">
        <v>0.25</v>
      </c>
      <c r="F5" s="87">
        <v>0.25</v>
      </c>
      <c r="G5" s="87">
        <v>0.25</v>
      </c>
      <c r="H5" s="87">
        <v>0.25</v>
      </c>
      <c r="I5" s="87">
        <v>0.25</v>
      </c>
      <c r="J5" s="87">
        <v>0.25</v>
      </c>
      <c r="K5" s="87">
        <v>0.25</v>
      </c>
      <c r="L5" s="87">
        <v>0.25</v>
      </c>
      <c r="M5" s="87">
        <v>0.25</v>
      </c>
      <c r="N5" s="87">
        <v>0.25</v>
      </c>
      <c r="O5" s="87">
        <v>0.25</v>
      </c>
    </row>
    <row r="6" spans="2:15" x14ac:dyDescent="0.3">
      <c r="B6" t="s">
        <v>286</v>
      </c>
      <c r="E6" s="86">
        <f t="shared" ref="E6:O6" si="6">E4*(1-E5)</f>
        <v>4763.25</v>
      </c>
      <c r="F6" s="86">
        <f t="shared" si="6"/>
        <v>6812.9302896418885</v>
      </c>
      <c r="G6" s="86">
        <f t="shared" si="6"/>
        <v>8875.4385696412064</v>
      </c>
      <c r="H6" s="86">
        <f t="shared" ca="1" si="6"/>
        <v>10965.455129240738</v>
      </c>
      <c r="I6" s="86">
        <f t="shared" ca="1" si="6"/>
        <v>12943.068499228852</v>
      </c>
      <c r="J6" s="86">
        <f t="shared" ca="1" si="6"/>
        <v>15034.915526808443</v>
      </c>
      <c r="K6" s="86">
        <f t="shared" ca="1" si="6"/>
        <v>17251.590316892638</v>
      </c>
      <c r="L6" s="86">
        <f t="shared" ca="1" si="6"/>
        <v>19087.349831241201</v>
      </c>
      <c r="M6" s="86">
        <f t="shared" ca="1" si="6"/>
        <v>20845.84759492091</v>
      </c>
      <c r="N6" s="86">
        <f t="shared" ca="1" si="6"/>
        <v>22469.554322909931</v>
      </c>
      <c r="O6" s="86">
        <f t="shared" ca="1" si="6"/>
        <v>24433.147130180289</v>
      </c>
    </row>
    <row r="7" spans="2:15" x14ac:dyDescent="0.3">
      <c r="B7" t="s">
        <v>334</v>
      </c>
      <c r="E7" s="108">
        <f>'Int Growth Rate'!H11</f>
        <v>12300.066947261535</v>
      </c>
      <c r="F7" s="108">
        <f>'Int Growth Rate'!I11</f>
        <v>12951.193179422333</v>
      </c>
      <c r="G7" s="108">
        <f>'Int Growth Rate'!J11</f>
        <v>14083.13310109315</v>
      </c>
      <c r="H7" s="108">
        <f ca="1">'Int Growth Rate'!K11</f>
        <v>13541.213163510038</v>
      </c>
      <c r="I7" s="108">
        <f ca="1">'Int Growth Rate'!L11</f>
        <v>12043.030987613231</v>
      </c>
      <c r="J7" s="108">
        <f ca="1">'Int Growth Rate'!M11</f>
        <v>12233.712311583777</v>
      </c>
      <c r="K7" s="108">
        <f ca="1">'Int Growth Rate'!N11</f>
        <v>12482.281725650511</v>
      </c>
      <c r="L7" s="108">
        <f ca="1">'Int Growth Rate'!O11</f>
        <v>9363.6718620481988</v>
      </c>
      <c r="M7" s="108">
        <f ca="1">'Int Growth Rate'!P11</f>
        <v>8427.3046758433811</v>
      </c>
      <c r="N7" s="108">
        <f ca="1">'Int Growth Rate'!Q11</f>
        <v>7191.2999900530094</v>
      </c>
      <c r="O7" s="108">
        <f ca="1">'Int Growth Rate'!R11</f>
        <v>5681.1269921418743</v>
      </c>
    </row>
    <row r="8" spans="2:15" x14ac:dyDescent="0.3">
      <c r="B8" t="s">
        <v>306</v>
      </c>
      <c r="E8" s="86">
        <f>E6-E7</f>
        <v>-7536.8169472615355</v>
      </c>
      <c r="F8" s="86">
        <f t="shared" ref="F8:O8" si="7">F6-F7</f>
        <v>-6138.2628897804443</v>
      </c>
      <c r="G8" s="86">
        <f t="shared" si="7"/>
        <v>-5207.6945314519435</v>
      </c>
      <c r="H8" s="86">
        <f t="shared" ca="1" si="7"/>
        <v>-2575.7580342693</v>
      </c>
      <c r="I8" s="86">
        <f t="shared" ca="1" si="7"/>
        <v>900.03751161562104</v>
      </c>
      <c r="J8" s="86">
        <f t="shared" ca="1" si="7"/>
        <v>2801.2032152246666</v>
      </c>
      <c r="K8" s="86">
        <f t="shared" ca="1" si="7"/>
        <v>4769.3085912421266</v>
      </c>
      <c r="L8" s="86">
        <f t="shared" ca="1" si="7"/>
        <v>9723.6779691930024</v>
      </c>
      <c r="M8" s="86">
        <f t="shared" ca="1" si="7"/>
        <v>12418.542919077528</v>
      </c>
      <c r="N8" s="86">
        <f t="shared" ca="1" si="7"/>
        <v>15278.254332856923</v>
      </c>
      <c r="O8" s="86">
        <f t="shared" ca="1" si="7"/>
        <v>18752.020138038413</v>
      </c>
    </row>
    <row r="9" spans="2:15" x14ac:dyDescent="0.3">
      <c r="B9" t="s">
        <v>307</v>
      </c>
      <c r="E9" s="89"/>
      <c r="F9" s="90">
        <v>0.5</v>
      </c>
      <c r="G9" s="90">
        <f>F9+1</f>
        <v>1.5</v>
      </c>
      <c r="H9" s="90">
        <f t="shared" ref="H9:J9" si="8">G9+1</f>
        <v>2.5</v>
      </c>
      <c r="I9" s="90">
        <f t="shared" si="8"/>
        <v>3.5</v>
      </c>
      <c r="J9" s="90">
        <f t="shared" si="8"/>
        <v>4.5</v>
      </c>
      <c r="K9" s="90">
        <f t="shared" ref="K9" si="9">J9+1</f>
        <v>5.5</v>
      </c>
      <c r="L9" s="90">
        <f t="shared" ref="L9" si="10">K9+1</f>
        <v>6.5</v>
      </c>
      <c r="M9" s="90">
        <f t="shared" ref="M9" si="11">L9+1</f>
        <v>7.5</v>
      </c>
      <c r="N9" s="90">
        <f t="shared" ref="N9" si="12">M9+1</f>
        <v>8.5</v>
      </c>
      <c r="O9" s="90">
        <f t="shared" ref="O9" si="13">N9+1</f>
        <v>9.5</v>
      </c>
    </row>
    <row r="10" spans="2:15" x14ac:dyDescent="0.3">
      <c r="B10" t="s">
        <v>308</v>
      </c>
      <c r="E10" s="89"/>
      <c r="F10" s="36">
        <f>1/(1+$D$15)^F9</f>
        <v>0.93822692131100061</v>
      </c>
      <c r="G10" s="36">
        <f>1/(1+$D$15)^G9</f>
        <v>0.82589278297564639</v>
      </c>
      <c r="H10" s="36">
        <f>1/(1+$D$15)^H9</f>
        <v>0.72700843844701224</v>
      </c>
      <c r="I10" s="36">
        <f>1/(1+$D$15)^I9</f>
        <v>0.6399635406291575</v>
      </c>
      <c r="J10" s="36">
        <f>1/(1+$D$15)^J9</f>
        <v>0.56334054967706892</v>
      </c>
      <c r="K10" s="36">
        <f t="shared" ref="K10:O10" si="14">1/(1+$D$15)^K9</f>
        <v>0.49589164813743636</v>
      </c>
      <c r="L10" s="36">
        <f t="shared" si="14"/>
        <v>0.43651842004526104</v>
      </c>
      <c r="M10" s="36">
        <f t="shared" si="14"/>
        <v>0.38425396304718662</v>
      </c>
      <c r="N10" s="36">
        <f t="shared" si="14"/>
        <v>0.33824714224467145</v>
      </c>
      <c r="O10" s="36">
        <f t="shared" si="14"/>
        <v>0.29774872932836161</v>
      </c>
    </row>
    <row r="11" spans="2:15" ht="15" thickBot="1" x14ac:dyDescent="0.35">
      <c r="E11" s="89"/>
    </row>
    <row r="12" spans="2:15" ht="15" thickBot="1" x14ac:dyDescent="0.35">
      <c r="B12" s="91" t="s">
        <v>309</v>
      </c>
      <c r="C12" s="91"/>
      <c r="D12" s="91"/>
      <c r="E12" s="92"/>
      <c r="F12" s="93">
        <f>F8*F10</f>
        <v>-5759.0834932762718</v>
      </c>
      <c r="G12" s="93">
        <f>G8*G10</f>
        <v>-4300.9973294679003</v>
      </c>
      <c r="H12" s="93">
        <f ca="1">H8*H10</f>
        <v>-1872.5978263114696</v>
      </c>
      <c r="I12" s="93">
        <f ca="1">I8*I10</f>
        <v>575.99119263258933</v>
      </c>
      <c r="J12" s="93">
        <f ca="1">J8*J10</f>
        <v>1578.0313590218366</v>
      </c>
      <c r="K12" s="93">
        <f t="shared" ref="K12:O12" ca="1" si="15">K8*K10</f>
        <v>2365.0602977870931</v>
      </c>
      <c r="L12" s="93">
        <f t="shared" ca="1" si="15"/>
        <v>4244.5645441410416</v>
      </c>
      <c r="M12" s="93">
        <f t="shared" ca="1" si="15"/>
        <v>4771.874331927118</v>
      </c>
      <c r="N12" s="93">
        <f t="shared" ca="1" si="15"/>
        <v>5167.8258665761232</v>
      </c>
      <c r="O12" s="93">
        <f t="shared" ca="1" si="15"/>
        <v>5583.3901684407856</v>
      </c>
    </row>
    <row r="13" spans="2:15" ht="15" thickTop="1" x14ac:dyDescent="0.3"/>
    <row r="14" spans="2:15" x14ac:dyDescent="0.3">
      <c r="B14" s="39" t="s">
        <v>310</v>
      </c>
      <c r="C14" s="39"/>
      <c r="D14" s="95">
        <v>0.04</v>
      </c>
    </row>
    <row r="15" spans="2:15" x14ac:dyDescent="0.3">
      <c r="B15" s="39" t="s">
        <v>254</v>
      </c>
      <c r="C15" s="39"/>
      <c r="D15" s="94">
        <f>'Beta Comps and WACC '!C32</f>
        <v>0.13601540133408152</v>
      </c>
    </row>
    <row r="17" spans="2:10" x14ac:dyDescent="0.3">
      <c r="B17" s="79" t="s">
        <v>311</v>
      </c>
      <c r="C17" s="79"/>
      <c r="D17" s="79"/>
      <c r="F17" s="79" t="s">
        <v>312</v>
      </c>
      <c r="G17" s="79"/>
      <c r="H17" s="79"/>
      <c r="I17" s="79"/>
      <c r="J17" s="79"/>
    </row>
    <row r="18" spans="2:10" x14ac:dyDescent="0.3">
      <c r="F18" s="96">
        <f ca="1">D37</f>
        <v>62.205356779879644</v>
      </c>
      <c r="G18" s="56">
        <v>0.06</v>
      </c>
      <c r="H18" s="56">
        <v>0.08</v>
      </c>
      <c r="I18" s="56">
        <v>9.9400000000000002E-2</v>
      </c>
      <c r="J18" s="56">
        <v>0.12</v>
      </c>
    </row>
    <row r="19" spans="2:10" x14ac:dyDescent="0.3">
      <c r="B19" t="s">
        <v>313</v>
      </c>
      <c r="D19" s="88">
        <f ca="1">O12*(1+0.08)</f>
        <v>6030.061381916049</v>
      </c>
      <c r="F19" s="56">
        <v>0.02</v>
      </c>
      <c r="G19" s="88">
        <v>505.54868426401242</v>
      </c>
      <c r="H19" s="88">
        <v>361.43135285023237</v>
      </c>
      <c r="I19" s="88">
        <v>291.00625890999737</v>
      </c>
      <c r="J19" s="88">
        <v>246.13748771920845</v>
      </c>
    </row>
    <row r="20" spans="2:10" x14ac:dyDescent="0.3">
      <c r="B20" t="s">
        <v>254</v>
      </c>
      <c r="D20" s="38">
        <f>D15</f>
        <v>0.13601540133408152</v>
      </c>
      <c r="F20" s="56">
        <f>F19+0.01</f>
        <v>0.03</v>
      </c>
      <c r="G20" s="88">
        <v>649.66601567779219</v>
      </c>
      <c r="H20" s="88">
        <v>419.07828541574435</v>
      </c>
      <c r="I20" s="86">
        <v>322.39092301479917</v>
      </c>
      <c r="J20" s="88">
        <v>265.3531319077124</v>
      </c>
    </row>
    <row r="21" spans="2:10" x14ac:dyDescent="0.3">
      <c r="B21" t="s">
        <v>314</v>
      </c>
      <c r="D21" s="38">
        <f>D14</f>
        <v>0.04</v>
      </c>
      <c r="F21" s="56">
        <f t="shared" ref="F21:F22" si="16">F20+0.01</f>
        <v>0.04</v>
      </c>
      <c r="G21" s="88">
        <v>937.9006785053524</v>
      </c>
      <c r="H21" s="88">
        <v>505.54868426401219</v>
      </c>
      <c r="I21" s="88">
        <v>364.34281409091477</v>
      </c>
      <c r="J21" s="88">
        <v>289.37268714334249</v>
      </c>
    </row>
    <row r="22" spans="2:10" ht="15" thickBot="1" x14ac:dyDescent="0.35">
      <c r="F22" s="56">
        <f t="shared" si="16"/>
        <v>0.05</v>
      </c>
      <c r="G22" s="88">
        <v>1802.6046669880325</v>
      </c>
      <c r="H22" s="88">
        <v>649.66601567779219</v>
      </c>
      <c r="I22" s="88">
        <v>423.2792764529072</v>
      </c>
      <c r="J22" s="88">
        <v>320.25497244629526</v>
      </c>
    </row>
    <row r="23" spans="2:10" ht="15" thickBot="1" x14ac:dyDescent="0.35">
      <c r="B23" s="91" t="s">
        <v>315</v>
      </c>
      <c r="C23" s="91"/>
      <c r="D23" s="97">
        <f ca="1">D19/(D20-D21)</f>
        <v>62803.063864043084</v>
      </c>
    </row>
    <row r="24" spans="2:10" ht="15" thickTop="1" x14ac:dyDescent="0.3"/>
    <row r="25" spans="2:10" x14ac:dyDescent="0.3">
      <c r="B25" s="79" t="s">
        <v>316</v>
      </c>
      <c r="C25" s="79"/>
      <c r="D25" s="79"/>
    </row>
    <row r="27" spans="2:10" x14ac:dyDescent="0.3">
      <c r="B27" t="s">
        <v>317</v>
      </c>
      <c r="D27" s="98">
        <f ca="1">SUM(F12:O12)</f>
        <v>12354.059111470944</v>
      </c>
    </row>
    <row r="28" spans="2:10" x14ac:dyDescent="0.3">
      <c r="B28" t="s">
        <v>318</v>
      </c>
      <c r="D28" s="98">
        <f ca="1">D23*O10</f>
        <v>18699.532463446772</v>
      </c>
    </row>
    <row r="29" spans="2:10" x14ac:dyDescent="0.3">
      <c r="B29" t="s">
        <v>319</v>
      </c>
      <c r="D29" s="98">
        <f ca="1">SUM(D27:D28)</f>
        <v>31053.591574917715</v>
      </c>
    </row>
    <row r="31" spans="2:10" x14ac:dyDescent="0.3">
      <c r="B31" t="s">
        <v>320</v>
      </c>
      <c r="D31" s="98">
        <f>'Data Sheet'!K69</f>
        <v>1917</v>
      </c>
    </row>
    <row r="32" spans="2:10" x14ac:dyDescent="0.3">
      <c r="B32" t="s">
        <v>321</v>
      </c>
      <c r="D32" s="98">
        <f>'Raw FS'!N7+'Raw FS'!N8</f>
        <v>27448</v>
      </c>
    </row>
    <row r="34" spans="2:4" x14ac:dyDescent="0.3">
      <c r="B34" s="14" t="s">
        <v>322</v>
      </c>
      <c r="C34" s="14"/>
      <c r="D34" s="99">
        <f ca="1">D29+D31-D32</f>
        <v>5522.5915749177148</v>
      </c>
    </row>
    <row r="35" spans="2:4" x14ac:dyDescent="0.3">
      <c r="B35" t="s">
        <v>323</v>
      </c>
      <c r="D35" s="100">
        <v>88.78</v>
      </c>
    </row>
    <row r="36" spans="2:4" ht="15" thickBot="1" x14ac:dyDescent="0.35"/>
    <row r="37" spans="2:4" ht="15" thickBot="1" x14ac:dyDescent="0.35">
      <c r="B37" s="91" t="s">
        <v>324</v>
      </c>
      <c r="C37" s="91"/>
      <c r="D37" s="101">
        <f ca="1">D34/D35</f>
        <v>62.205356779879644</v>
      </c>
    </row>
    <row r="38" spans="2:4" ht="15" thickTop="1" x14ac:dyDescent="0.3"/>
    <row r="39" spans="2:4" x14ac:dyDescent="0.3">
      <c r="B39" t="s">
        <v>325</v>
      </c>
      <c r="D39">
        <v>4590</v>
      </c>
    </row>
    <row r="40" spans="2:4" x14ac:dyDescent="0.3">
      <c r="B40" t="s">
        <v>326</v>
      </c>
      <c r="D40" s="102">
        <f ca="1">D39/D37</f>
        <v>73.787857470896114</v>
      </c>
    </row>
    <row r="41" spans="2:4" x14ac:dyDescent="0.3">
      <c r="D41" t="s">
        <v>339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709EC-C158-40B5-83A9-B7677206989A}">
  <dimension ref="B2:P28"/>
  <sheetViews>
    <sheetView tabSelected="1" topLeftCell="A7" workbookViewId="0">
      <selection activeCell="I26" sqref="I26"/>
    </sheetView>
  </sheetViews>
  <sheetFormatPr defaultRowHeight="14.4" x14ac:dyDescent="0.3"/>
  <cols>
    <col min="1" max="1" width="1.88671875" customWidth="1"/>
    <col min="2" max="2" width="15.21875" customWidth="1"/>
    <col min="3" max="3" width="19.44140625" customWidth="1"/>
    <col min="4" max="4" width="12" customWidth="1"/>
    <col min="5" max="6" width="11.6640625" customWidth="1"/>
    <col min="8" max="8" width="12.109375" customWidth="1"/>
    <col min="14" max="14" width="11.88671875" customWidth="1"/>
    <col min="15" max="15" width="12" customWidth="1"/>
  </cols>
  <sheetData>
    <row r="2" spans="2:16" x14ac:dyDescent="0.3">
      <c r="B2" s="79"/>
      <c r="C2" s="120" t="s">
        <v>350</v>
      </c>
      <c r="D2" s="120"/>
      <c r="E2" s="120"/>
      <c r="F2" s="120"/>
      <c r="G2" s="120"/>
      <c r="H2" s="120"/>
      <c r="I2" s="79"/>
      <c r="J2" s="120" t="s">
        <v>351</v>
      </c>
      <c r="K2" s="120"/>
      <c r="L2" s="120"/>
      <c r="M2" s="79"/>
      <c r="N2" s="120" t="s">
        <v>352</v>
      </c>
      <c r="O2" s="120"/>
      <c r="P2" s="120"/>
    </row>
    <row r="3" spans="2:16" x14ac:dyDescent="0.3">
      <c r="B3" s="79"/>
      <c r="C3" s="79" t="s">
        <v>353</v>
      </c>
      <c r="D3" s="79" t="s">
        <v>353</v>
      </c>
      <c r="E3" s="79" t="s">
        <v>354</v>
      </c>
      <c r="F3" s="79"/>
      <c r="G3" s="79"/>
      <c r="H3" s="79" t="s">
        <v>355</v>
      </c>
      <c r="I3" s="79"/>
      <c r="J3" s="79"/>
      <c r="K3" s="79"/>
      <c r="L3" s="79"/>
      <c r="M3" s="79"/>
      <c r="N3" s="79"/>
      <c r="O3" s="79"/>
      <c r="P3" s="79"/>
    </row>
    <row r="4" spans="2:16" x14ac:dyDescent="0.3">
      <c r="B4" s="79" t="s">
        <v>356</v>
      </c>
      <c r="C4" s="79" t="s">
        <v>357</v>
      </c>
      <c r="D4" s="79" t="s">
        <v>358</v>
      </c>
      <c r="E4" s="79" t="s">
        <v>359</v>
      </c>
      <c r="F4" s="79" t="s">
        <v>360</v>
      </c>
      <c r="G4" s="79" t="s">
        <v>372</v>
      </c>
      <c r="H4" s="79" t="s">
        <v>359</v>
      </c>
      <c r="I4" s="79"/>
      <c r="J4" s="79" t="s">
        <v>361</v>
      </c>
      <c r="K4" s="79" t="s">
        <v>28</v>
      </c>
      <c r="L4" s="79" t="s">
        <v>362</v>
      </c>
      <c r="M4" s="79"/>
      <c r="N4" s="79" t="s">
        <v>363</v>
      </c>
      <c r="O4" s="79" t="s">
        <v>364</v>
      </c>
      <c r="P4" s="79" t="s">
        <v>348</v>
      </c>
    </row>
    <row r="5" spans="2:16" x14ac:dyDescent="0.3">
      <c r="B5" t="s">
        <v>236</v>
      </c>
      <c r="C5">
        <v>4711.6000000000004</v>
      </c>
      <c r="D5">
        <v>88.78</v>
      </c>
      <c r="E5">
        <v>418347.33</v>
      </c>
    </row>
    <row r="6" spans="2:16" x14ac:dyDescent="0.3">
      <c r="B6" t="s">
        <v>237</v>
      </c>
      <c r="C6">
        <v>596.1</v>
      </c>
      <c r="D6">
        <v>103.27</v>
      </c>
      <c r="E6">
        <v>61566.98</v>
      </c>
    </row>
    <row r="7" spans="2:16" x14ac:dyDescent="0.3">
      <c r="B7" t="s">
        <v>238</v>
      </c>
      <c r="C7">
        <v>6476</v>
      </c>
      <c r="D7">
        <v>3.11</v>
      </c>
      <c r="E7">
        <v>20137.919999999998</v>
      </c>
    </row>
    <row r="8" spans="2:16" x14ac:dyDescent="0.3">
      <c r="B8" t="s">
        <v>241</v>
      </c>
      <c r="C8">
        <v>776.05</v>
      </c>
      <c r="D8">
        <v>15.24</v>
      </c>
      <c r="E8">
        <v>11851.1</v>
      </c>
    </row>
    <row r="9" spans="2:16" x14ac:dyDescent="0.3">
      <c r="B9" t="s">
        <v>240</v>
      </c>
      <c r="C9">
        <v>671.25</v>
      </c>
      <c r="D9">
        <v>15.49</v>
      </c>
      <c r="E9">
        <v>10391.16</v>
      </c>
    </row>
    <row r="10" spans="2:16" x14ac:dyDescent="0.3">
      <c r="B10" t="s">
        <v>239</v>
      </c>
      <c r="C10">
        <v>9.8699999999999992</v>
      </c>
      <c r="D10">
        <v>971.05</v>
      </c>
      <c r="E10">
        <v>9603.35</v>
      </c>
    </row>
    <row r="11" spans="2:16" x14ac:dyDescent="0.3">
      <c r="B11" t="s">
        <v>242</v>
      </c>
      <c r="C11">
        <v>636.6</v>
      </c>
      <c r="D11">
        <v>13.57</v>
      </c>
      <c r="E11">
        <v>8634.8799999999992</v>
      </c>
    </row>
    <row r="21" spans="2:16" x14ac:dyDescent="0.3">
      <c r="B21" t="s">
        <v>346</v>
      </c>
      <c r="C21" t="s">
        <v>227</v>
      </c>
      <c r="D21" t="s">
        <v>365</v>
      </c>
      <c r="E21" t="s">
        <v>347</v>
      </c>
      <c r="F21" t="s">
        <v>374</v>
      </c>
      <c r="H21" t="s">
        <v>373</v>
      </c>
      <c r="I21" t="s">
        <v>366</v>
      </c>
      <c r="J21" t="s">
        <v>367</v>
      </c>
      <c r="K21" t="s">
        <v>368</v>
      </c>
      <c r="L21" t="s">
        <v>369</v>
      </c>
      <c r="M21" t="s">
        <v>348</v>
      </c>
      <c r="N21" t="s">
        <v>349</v>
      </c>
      <c r="O21" t="s">
        <v>370</v>
      </c>
      <c r="P21" t="s">
        <v>371</v>
      </c>
    </row>
    <row r="22" spans="2:16" x14ac:dyDescent="0.3">
      <c r="B22">
        <v>1</v>
      </c>
      <c r="E22">
        <v>1.95</v>
      </c>
      <c r="F22">
        <f>K22/E22</f>
        <v>15703.076923076924</v>
      </c>
      <c r="H22">
        <f>E22*(F22/I22)</f>
        <v>7.3195160585822303E-2</v>
      </c>
      <c r="I22">
        <v>418347.33</v>
      </c>
      <c r="J22">
        <v>176.88</v>
      </c>
      <c r="K22">
        <v>30621</v>
      </c>
      <c r="L22">
        <v>57.14</v>
      </c>
      <c r="M22">
        <v>81.239999999999995</v>
      </c>
      <c r="N22">
        <v>50.17</v>
      </c>
      <c r="O22">
        <v>447051.33</v>
      </c>
      <c r="P22">
        <v>88.78</v>
      </c>
    </row>
    <row r="23" spans="2:16" x14ac:dyDescent="0.3">
      <c r="B23">
        <v>2</v>
      </c>
      <c r="E23">
        <v>0.97</v>
      </c>
      <c r="F23">
        <f t="shared" ref="F23:F28" si="0">K23/E23</f>
        <v>6306.5257731958764</v>
      </c>
      <c r="H23">
        <f t="shared" ref="H23:H28" si="1">E23*(F23/I23)</f>
        <v>9.9360566329548719E-2</v>
      </c>
      <c r="I23">
        <v>61566.98</v>
      </c>
      <c r="J23">
        <v>61.09</v>
      </c>
      <c r="K23">
        <v>6117.33</v>
      </c>
      <c r="L23">
        <v>13.08</v>
      </c>
      <c r="M23">
        <v>44.67</v>
      </c>
      <c r="N23">
        <v>24.76</v>
      </c>
      <c r="O23">
        <v>66823.399999999994</v>
      </c>
      <c r="P23">
        <v>103.27</v>
      </c>
    </row>
    <row r="24" spans="2:16" x14ac:dyDescent="0.3">
      <c r="B24">
        <v>3</v>
      </c>
      <c r="E24">
        <v>0.64</v>
      </c>
      <c r="F24">
        <f t="shared" si="0"/>
        <v>1426.890625</v>
      </c>
      <c r="H24">
        <f t="shared" si="1"/>
        <v>4.534778169741463E-2</v>
      </c>
      <c r="I24">
        <v>20137.919999999998</v>
      </c>
      <c r="J24">
        <v>455.57</v>
      </c>
      <c r="K24">
        <v>913.21</v>
      </c>
      <c r="L24">
        <v>113.14</v>
      </c>
      <c r="M24">
        <v>56.98</v>
      </c>
      <c r="N24">
        <v>35.69</v>
      </c>
      <c r="O24">
        <v>20669.900000000001</v>
      </c>
      <c r="P24">
        <v>3.11</v>
      </c>
    </row>
    <row r="25" spans="2:16" x14ac:dyDescent="0.3">
      <c r="B25">
        <v>4</v>
      </c>
      <c r="E25">
        <v>0.94</v>
      </c>
      <c r="F25">
        <f t="shared" si="0"/>
        <v>1807.5425531914893</v>
      </c>
      <c r="H25">
        <f t="shared" si="1"/>
        <v>0.14336981377256119</v>
      </c>
      <c r="I25">
        <v>11851.1</v>
      </c>
      <c r="J25">
        <v>118.29</v>
      </c>
      <c r="K25">
        <v>1699.09</v>
      </c>
      <c r="L25">
        <v>3.71</v>
      </c>
      <c r="M25">
        <v>210.42</v>
      </c>
      <c r="N25">
        <v>26.69</v>
      </c>
      <c r="O25">
        <v>13038.52</v>
      </c>
      <c r="P25">
        <v>15.24</v>
      </c>
    </row>
    <row r="26" spans="2:16" x14ac:dyDescent="0.3">
      <c r="B26">
        <v>5</v>
      </c>
      <c r="E26">
        <v>0.73</v>
      </c>
      <c r="F26">
        <f t="shared" si="0"/>
        <v>1190.5616438356165</v>
      </c>
      <c r="H26">
        <f t="shared" si="1"/>
        <v>8.3639362689054933E-2</v>
      </c>
      <c r="I26">
        <v>10391.16</v>
      </c>
      <c r="J26">
        <v>77.39</v>
      </c>
      <c r="K26">
        <v>869.11</v>
      </c>
      <c r="L26">
        <v>17.78</v>
      </c>
      <c r="M26">
        <v>37.74</v>
      </c>
      <c r="N26">
        <v>23.42</v>
      </c>
      <c r="O26">
        <v>11024.83</v>
      </c>
      <c r="P26">
        <v>15.49</v>
      </c>
    </row>
    <row r="27" spans="2:16" x14ac:dyDescent="0.3">
      <c r="B27">
        <v>6</v>
      </c>
      <c r="E27">
        <v>0.14000000000000001</v>
      </c>
      <c r="F27">
        <f t="shared" si="0"/>
        <v>8332.5714285714275</v>
      </c>
      <c r="H27">
        <f t="shared" si="1"/>
        <v>0.12147427720535021</v>
      </c>
      <c r="I27">
        <v>9603.35</v>
      </c>
      <c r="J27">
        <v>9.4499999999999993</v>
      </c>
      <c r="K27">
        <v>1166.56</v>
      </c>
      <c r="L27">
        <v>0.83</v>
      </c>
      <c r="M27">
        <v>13.43</v>
      </c>
      <c r="N27">
        <v>12.25</v>
      </c>
      <c r="O27">
        <v>10633.74</v>
      </c>
      <c r="P27">
        <v>971.05</v>
      </c>
    </row>
    <row r="28" spans="2:16" x14ac:dyDescent="0.3">
      <c r="B28">
        <v>7</v>
      </c>
      <c r="E28">
        <v>0.89</v>
      </c>
      <c r="F28">
        <f t="shared" si="0"/>
        <v>1951.7865168539324</v>
      </c>
      <c r="H28">
        <f t="shared" si="1"/>
        <v>0.20117129595315744</v>
      </c>
      <c r="I28">
        <v>8634.8799999999992</v>
      </c>
      <c r="J28">
        <v>144.63</v>
      </c>
      <c r="K28">
        <v>1737.09</v>
      </c>
      <c r="L28">
        <v>30.2</v>
      </c>
      <c r="M28">
        <v>20.94</v>
      </c>
      <c r="N28">
        <v>14.02</v>
      </c>
      <c r="O28">
        <v>9867.52</v>
      </c>
      <c r="P28">
        <v>13.57</v>
      </c>
    </row>
  </sheetData>
  <mergeCells count="3">
    <mergeCell ref="C2:H2"/>
    <mergeCell ref="J2:L2"/>
    <mergeCell ref="N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1</vt:i4>
      </vt:variant>
    </vt:vector>
  </HeadingPairs>
  <TitlesOfParts>
    <vt:vector size="14" baseType="lpstr">
      <vt:lpstr>Financials&gt;</vt:lpstr>
      <vt:lpstr>HistoricalFS</vt:lpstr>
      <vt:lpstr>Data&gt;</vt:lpstr>
      <vt:lpstr>Cash Flow Data</vt:lpstr>
      <vt:lpstr>Data Sheet</vt:lpstr>
      <vt:lpstr>Modelling&gt;</vt:lpstr>
      <vt:lpstr>Beta Regression </vt:lpstr>
      <vt:lpstr>Beta Comps and WACC </vt:lpstr>
      <vt:lpstr>Raw FS</vt:lpstr>
      <vt:lpstr>Sales to Capital Ratio</vt:lpstr>
      <vt:lpstr>Int Growth Rate</vt:lpstr>
      <vt:lpstr>DCF</vt:lpstr>
      <vt:lpstr>Relative Valuation 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Valuation School</dc:creator>
  <cp:lastModifiedBy>Avinash Meena</cp:lastModifiedBy>
  <dcterms:created xsi:type="dcterms:W3CDTF">2023-01-14T08:22:33Z</dcterms:created>
  <dcterms:modified xsi:type="dcterms:W3CDTF">2026-07-22T16:53:02Z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{9CFBFC8B-C35F-4354-95CF-4607CE1DA376}</vt:lpwstr>
  </property>
</Properties>
</file>